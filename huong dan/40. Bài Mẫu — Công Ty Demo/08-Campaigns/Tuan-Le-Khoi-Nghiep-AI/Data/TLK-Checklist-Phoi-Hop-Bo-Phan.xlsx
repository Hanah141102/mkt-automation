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Đọc trước" sheetId="1" state="visible" r:id="rId1"/>
    <sheet name="01. Master Timeline" sheetId="2" state="visible" r:id="rId2"/>
    <sheet name="02. Content Planner" sheetId="3" state="visible" r:id="rId3"/>
    <sheet name="03. Ads Performance" sheetId="4" state="visible" r:id="rId4"/>
    <sheet name="04. Video Editor" sheetId="5" state="visible" r:id="rId5"/>
    <sheet name="05. Support &amp; Truyền thông" sheetId="6" state="visible" r:id="rId6"/>
    <sheet name="06. Kỹ thuật &amp; Tổ chức lớp" sheetId="7" state="visible" r:id="rId7"/>
    <sheet name="07. Thắng - Slide &amp; Demo" sheetId="8" state="visible" r:id="rId8"/>
    <sheet name="08. Run-of-show buổi live" sheetId="9" state="visible" r:id="rId9"/>
    <sheet name="09. Việc CHẶN" sheetId="10" state="visible" r:id="rId10"/>
    <sheet name="10. Lỗ hổng nguồn lực" sheetId="11" state="visible" r:id="rId11"/>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F3864"/>
      <sz val="17"/>
    </font>
    <font>
      <name val="Arial"/>
      <i val="1"/>
      <color rgb="00595959"/>
      <sz val="10"/>
    </font>
    <font>
      <name val="Arial"/>
      <b val="1"/>
      <color rgb="00FFFFFF"/>
      <sz val="11.5"/>
    </font>
    <font>
      <name val="Arial"/>
      <b val="1"/>
      <color rgb="002E5C8A"/>
      <sz val="10"/>
    </font>
    <font>
      <name val="Arial"/>
      <sz val="10"/>
    </font>
    <font>
      <name val="Arial"/>
      <b val="1"/>
      <color rgb="001F3864"/>
      <sz val="10"/>
    </font>
    <font>
      <name val="Arial"/>
      <b val="1"/>
      <color rgb="001F3864"/>
      <sz val="15"/>
    </font>
    <font>
      <name val="Arial"/>
      <i val="1"/>
      <color rgb="00595959"/>
      <sz val="9.5"/>
    </font>
    <font>
      <name val="Arial"/>
      <b val="1"/>
      <color rgb="00FFFFFF"/>
      <sz val="10"/>
    </font>
    <font>
      <name val="Arial"/>
      <sz val="9.5"/>
    </font>
    <font>
      <name val="Arial"/>
      <b val="1"/>
      <color rgb="00C00000"/>
      <sz val="10"/>
    </font>
    <font>
      <name val="Arial"/>
      <b val="1"/>
      <sz val="9.5"/>
    </font>
    <font>
      <name val="Arial"/>
      <b val="1"/>
      <color rgb="001F3864"/>
      <sz val="10.5"/>
    </font>
    <font>
      <name val="Arial"/>
      <b val="1"/>
      <sz val="10"/>
    </font>
    <font>
      <name val="Arial"/>
      <b val="1"/>
      <color rgb="00375623"/>
      <sz val="10"/>
    </font>
    <font>
      <name val="Arial"/>
      <b val="1"/>
      <color rgb="00C00000"/>
      <sz val="15"/>
    </font>
    <font>
      <name val="Arial"/>
      <i val="1"/>
      <color rgb="00808080"/>
      <sz val="9"/>
    </font>
    <font>
      <name val="Arial"/>
      <b val="1"/>
      <color rgb="00C00000"/>
      <sz val="11"/>
    </font>
    <font>
      <name val="Arial"/>
      <color rgb="00000000"/>
      <sz val="10"/>
    </font>
  </fonts>
  <fills count="10">
    <fill>
      <patternFill/>
    </fill>
    <fill>
      <patternFill patternType="gray125"/>
    </fill>
    <fill>
      <patternFill patternType="solid">
        <fgColor rgb="001F3864"/>
      </patternFill>
    </fill>
    <fill>
      <patternFill patternType="solid">
        <fgColor rgb="00F2F2F2"/>
      </patternFill>
    </fill>
    <fill>
      <patternFill patternType="solid">
        <fgColor rgb="00F7F9FC"/>
      </patternFill>
    </fill>
    <fill>
      <patternFill patternType="solid">
        <fgColor rgb="00FFF2CC"/>
      </patternFill>
    </fill>
    <fill>
      <patternFill patternType="solid">
        <fgColor rgb="00D9E2F3"/>
      </patternFill>
    </fill>
    <fill>
      <patternFill patternType="solid">
        <fgColor rgb="00FCE4E4"/>
      </patternFill>
    </fill>
    <fill>
      <patternFill patternType="solid">
        <fgColor rgb="00C00000"/>
      </patternFill>
    </fill>
    <fill>
      <patternFill patternType="solid">
        <fgColor rgb="00FD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1" applyAlignment="1" pivotButton="0" quotePrefix="0" xfId="0">
      <alignment horizontal="center"/>
    </xf>
    <xf numFmtId="0" fontId="5" fillId="0" borderId="1" pivotButton="0" quotePrefix="0" xfId="0"/>
    <xf numFmtId="0" fontId="5" fillId="0" borderId="1" applyAlignment="1" pivotButton="0" quotePrefix="0" xfId="0">
      <alignment horizontal="center"/>
    </xf>
    <xf numFmtId="0" fontId="6" fillId="3" borderId="1"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center" wrapText="1"/>
    </xf>
    <xf numFmtId="0" fontId="6" fillId="4" borderId="1" applyAlignment="1" pivotButton="0" quotePrefix="0" xfId="0">
      <alignment horizontal="center" vertical="top" wrapText="1"/>
    </xf>
    <xf numFmtId="0" fontId="10" fillId="4" borderId="1" applyAlignment="1" pivotButton="0" quotePrefix="0" xfId="0">
      <alignment horizontal="center" vertical="top" wrapText="1"/>
    </xf>
    <xf numFmtId="0" fontId="10" fillId="4" borderId="1" applyAlignment="1" pivotButton="0" quotePrefix="0" xfId="0">
      <alignment horizontal="left" vertical="top" wrapText="1"/>
    </xf>
    <xf numFmtId="0" fontId="6" fillId="0" borderId="1" applyAlignment="1" pivotButton="0" quotePrefix="0" xfId="0">
      <alignment horizontal="center" vertical="top" wrapText="1"/>
    </xf>
    <xf numFmtId="0" fontId="10" fillId="0" borderId="1" applyAlignment="1" pivotButton="0" quotePrefix="0" xfId="0">
      <alignment horizontal="center" vertical="top" wrapText="1"/>
    </xf>
    <xf numFmtId="0" fontId="10" fillId="0" borderId="1" applyAlignment="1" pivotButton="0" quotePrefix="0" xfId="0">
      <alignment horizontal="left" vertical="top" wrapText="1"/>
    </xf>
    <xf numFmtId="0" fontId="11" fillId="5" borderId="1" applyAlignment="1" pivotButton="0" quotePrefix="0" xfId="0">
      <alignment horizontal="center" vertical="top" wrapText="1"/>
    </xf>
    <xf numFmtId="0" fontId="12" fillId="5" borderId="1" applyAlignment="1" pivotButton="0" quotePrefix="0" xfId="0">
      <alignment horizontal="center" vertical="top" wrapText="1"/>
    </xf>
    <xf numFmtId="0" fontId="10" fillId="5" borderId="1" applyAlignment="1" pivotButton="0" quotePrefix="0" xfId="0">
      <alignment horizontal="left" vertical="top" wrapText="1"/>
    </xf>
    <xf numFmtId="0" fontId="12" fillId="5" borderId="1" applyAlignment="1" pivotButton="0" quotePrefix="0" xfId="0">
      <alignment horizontal="left" vertical="top" wrapText="1"/>
    </xf>
    <xf numFmtId="0" fontId="13" fillId="6" borderId="1" applyAlignment="1" pivotButton="0" quotePrefix="0" xfId="0">
      <alignment vertical="center" indent="1"/>
    </xf>
    <xf numFmtId="0" fontId="0" fillId="0" borderId="4" pivotButton="0" quotePrefix="0" xfId="0"/>
    <xf numFmtId="0" fontId="0" fillId="0" borderId="5" pivotButton="0" quotePrefix="0" xfId="0"/>
    <xf numFmtId="0" fontId="5" fillId="7" borderId="1" applyAlignment="1" pivotButton="0" quotePrefix="0" xfId="0">
      <alignment horizontal="center" vertical="top"/>
    </xf>
    <xf numFmtId="0" fontId="14" fillId="7" borderId="1" applyAlignment="1" pivotButton="0" quotePrefix="0" xfId="0">
      <alignment horizontal="left" vertical="top" wrapText="1"/>
    </xf>
    <xf numFmtId="0" fontId="5" fillId="7" borderId="1" applyAlignment="1" pivotButton="0" quotePrefix="0" xfId="0">
      <alignment horizontal="left" vertical="top" wrapText="1"/>
    </xf>
    <xf numFmtId="0" fontId="11" fillId="7" borderId="1" applyAlignment="1" pivotButton="0" quotePrefix="0" xfId="0">
      <alignment horizontal="center" vertical="top"/>
    </xf>
    <xf numFmtId="0" fontId="5" fillId="7" borderId="1" applyAlignment="1" pivotButton="0" quotePrefix="0" xfId="0">
      <alignment horizontal="left" vertical="top"/>
    </xf>
    <xf numFmtId="0" fontId="5" fillId="0" borderId="1" applyAlignment="1" pivotButton="0" quotePrefix="0" xfId="0">
      <alignment horizontal="center" vertical="top"/>
    </xf>
    <xf numFmtId="0" fontId="14"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0" borderId="1" applyAlignment="1" pivotButton="0" quotePrefix="0" xfId="0">
      <alignment horizontal="left" vertical="top"/>
    </xf>
    <xf numFmtId="0" fontId="6" fillId="0" borderId="0" pivotButton="0" quotePrefix="0" xfId="0"/>
    <xf numFmtId="0" fontId="15" fillId="0" borderId="0" pivotButton="0" quotePrefix="0" xfId="0"/>
    <xf numFmtId="0" fontId="13" fillId="6" borderId="1" pivotButton="0" quotePrefix="0" xfId="0"/>
    <xf numFmtId="0" fontId="12" fillId="0" borderId="1" applyAlignment="1" pivotButton="0" quotePrefix="0" xfId="0">
      <alignment horizontal="center" vertical="top" wrapText="1"/>
    </xf>
    <xf numFmtId="0" fontId="10" fillId="5" borderId="1" applyAlignment="1" pivotButton="0" quotePrefix="0" xfId="0">
      <alignment horizontal="center" vertical="top" wrapText="1"/>
    </xf>
    <xf numFmtId="0" fontId="16" fillId="0" borderId="0" pivotButton="0" quotePrefix="0" xfId="0"/>
    <xf numFmtId="0" fontId="17" fillId="0" borderId="0" pivotButton="0" quotePrefix="0" xfId="0"/>
    <xf numFmtId="0" fontId="9" fillId="8" borderId="1" applyAlignment="1" pivotButton="0" quotePrefix="0" xfId="0">
      <alignment horizontal="center" vertical="center" wrapText="1"/>
    </xf>
    <xf numFmtId="0" fontId="5" fillId="9" borderId="1" applyAlignment="1" pivotButton="0" quotePrefix="0" xfId="0">
      <alignment horizontal="center" vertical="top" wrapText="1"/>
    </xf>
    <xf numFmtId="0" fontId="14" fillId="9" borderId="1" applyAlignment="1" pivotButton="0" quotePrefix="0" xfId="0">
      <alignment horizontal="left" vertical="top" wrapText="1"/>
    </xf>
    <xf numFmtId="0" fontId="5" fillId="9" borderId="1" applyAlignment="1" pivotButton="0" quotePrefix="0" xfId="0">
      <alignment horizontal="left" vertical="top" wrapText="1"/>
    </xf>
    <xf numFmtId="0" fontId="5" fillId="7" borderId="1" applyAlignment="1" pivotButton="0" quotePrefix="0" xfId="0">
      <alignment horizontal="center" vertical="top" wrapText="1"/>
    </xf>
    <xf numFmtId="0" fontId="18" fillId="0" borderId="0" pivotButton="0" quotePrefix="0" xfId="0"/>
    <xf numFmtId="0" fontId="11" fillId="4" borderId="1" applyAlignment="1" pivotButton="0" quotePrefix="0" xfId="0">
      <alignment horizontal="left" vertical="top" wrapText="1"/>
    </xf>
    <xf numFmtId="0" fontId="19" fillId="4" borderId="1" applyAlignment="1" pivotButton="0" quotePrefix="0" xfId="0">
      <alignment horizontal="left" vertical="top" wrapText="1"/>
    </xf>
    <xf numFmtId="0" fontId="19" fillId="4" borderId="1" applyAlignment="1" pivotButton="0" quotePrefix="0" xfId="0">
      <alignment horizontal="center" vertical="top" wrapText="1"/>
    </xf>
    <xf numFmtId="0" fontId="11" fillId="0" borderId="1" applyAlignment="1" pivotButton="0" quotePrefix="0" xfId="0">
      <alignment horizontal="left" vertical="top" wrapText="1"/>
    </xf>
    <xf numFmtId="0" fontId="19" fillId="0" borderId="1" applyAlignment="1" pivotButton="0" quotePrefix="0" xfId="0">
      <alignment horizontal="left" vertical="top" wrapText="1"/>
    </xf>
    <xf numFmtId="0" fontId="19"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showGridLines="0" workbookViewId="0">
      <selection activeCell="A1" sqref="A1"/>
    </sheetView>
  </sheetViews>
  <sheetFormatPr baseColWidth="8" defaultRowHeight="15"/>
  <cols>
    <col width="4" customWidth="1" min="1" max="1"/>
    <col width="30" customWidth="1" min="2" max="2"/>
    <col width="26" customWidth="1" min="3" max="3"/>
    <col width="26" customWidth="1" min="4" max="4"/>
    <col width="26" customWidth="1" min="5" max="5"/>
    <col width="26" customWidth="1" min="6" max="6"/>
  </cols>
  <sheetData>
    <row r="1" ht="24" customHeight="1">
      <c r="B1" s="1" t="inlineStr">
        <is>
          <t>THE AGENTIC FOUNDER WEEK — CHECKLIST PHỐI HỢP BỘ PHẬN</t>
        </is>
      </c>
    </row>
    <row r="2">
      <c r="B2" s="2" t="inlineStr">
        <is>
          <t>Workshop online 5 buổi · Kế hoạch chạy trong 14 ngày · Lập ngày 28/07/2026</t>
        </is>
      </c>
    </row>
    <row r="3"/>
    <row r="4"/>
    <row r="5" ht="20" customHeight="1">
      <c r="B5" s="3" t="inlineStr">
        <is>
          <t>BỐI CẢNH ĐÃ CHỐT</t>
        </is>
      </c>
    </row>
    <row r="6" ht="15" customHeight="1">
      <c r="B6" s="4" t="inlineStr">
        <is>
          <t>Ngày khai giảng (buổi 1)</t>
        </is>
      </c>
      <c r="C6" s="5" t="inlineStr">
        <is>
          <t>Thứ 3, 11/08/2026 — 20:00  ⚠ [GIẢ ĐỊNH] Sửa ô này nếu ngày thật khác</t>
        </is>
      </c>
    </row>
    <row r="7" ht="15" customHeight="1">
      <c r="B7" s="4" t="inlineStr">
        <is>
          <t>Lịch 5 buổi</t>
        </is>
      </c>
      <c r="C7" s="5" t="inlineStr">
        <is>
          <t>11/08 → 15/08/2026, mỗi tối 20:00–22:45 (buổi 1 kết thúc ~22:00)</t>
        </is>
      </c>
    </row>
    <row r="8" ht="15" customHeight="1">
      <c r="B8" s="4" t="inlineStr">
        <is>
          <t>Mục tiêu đăng ký</t>
        </is>
      </c>
      <c r="C8" s="5" t="inlineStr">
        <is>
          <t>1.000 – 3.000 người</t>
        </is>
      </c>
    </row>
    <row r="9" ht="15" customHeight="1">
      <c r="B9" s="4" t="inlineStr">
        <is>
          <t>Ngân sách quảng cáo</t>
        </is>
      </c>
      <c r="C9" s="5" t="inlineStr">
        <is>
          <t>30 – 100 triệu · Facebook là kênh chính · test thêm YouTube và TikTok</t>
        </is>
      </c>
    </row>
    <row r="10" ht="15" customHeight="1">
      <c r="B10" s="4" t="inlineStr">
        <is>
          <t>Hạ tầng</t>
        </is>
      </c>
      <c r="C10" s="5" t="inlineStr">
        <is>
          <t>Zoom (live + đào tạo) · Landing page 3 hạng vé · Cổng thanh toán tự động · Zalo Group</t>
        </is>
      </c>
    </row>
    <row r="11" ht="15" customHeight="1">
      <c r="B11" s="4" t="inlineStr">
        <is>
          <t>Hạng vé</t>
        </is>
      </c>
      <c r="C11" s="5" t="inlineStr">
        <is>
          <t>Free 0đ · Record 199K · Implementation 499K</t>
        </is>
      </c>
    </row>
    <row r="12" ht="26" customHeight="1">
      <c r="B12" s="4" t="inlineStr">
        <is>
          <t>Bán trong chuỗi</t>
        </is>
      </c>
      <c r="C12" s="5" t="inlineStr">
        <is>
          <t>B2: Cấp 1 (5tr) · B3: Cấp 2 (5tr) + Gói 2 khóa (9tr) · B4: Cấp 3 (5tr) + Gói 3 khóa (11tr) · B5: Co-Founder (12tr) + Trọn bộ (19tr)</t>
        </is>
      </c>
    </row>
    <row r="13"/>
    <row r="14" ht="20" customHeight="1">
      <c r="B14" s="3" t="inlineStr">
        <is>
          <t>ĐỘI NGŨ VÀ KÝ HIỆU</t>
        </is>
      </c>
    </row>
    <row r="15" ht="15" customHeight="1">
      <c r="B15" s="4" t="inlineStr">
        <is>
          <t>AN</t>
        </is>
      </c>
      <c r="C15" s="5" t="inlineStr">
        <is>
          <t>Founder — giảng chính, slide, toàn bộ demo live. Đây là đường găng của dự án.</t>
        </is>
      </c>
    </row>
    <row r="16" ht="15" customHeight="1">
      <c r="B16" s="4" t="inlineStr">
        <is>
          <t>CP</t>
        </is>
      </c>
      <c r="C16" s="5" t="inlineStr">
        <is>
          <t>Content Planner — nội dung kéo đăng ký, nội dung giữ nhiệt, kịch bản, tin nhắn</t>
        </is>
      </c>
    </row>
    <row r="17" ht="15" customHeight="1">
      <c r="B17" s="4" t="inlineStr">
        <is>
          <t>ADS</t>
        </is>
      </c>
      <c r="C17" s="5" t="inlineStr">
        <is>
          <t>Ads Performance — tracking, chiến dịch, ngân sách, báo cáo số</t>
        </is>
      </c>
    </row>
    <row r="18" ht="15" customHeight="1">
      <c r="B18" s="4" t="inlineStr">
        <is>
          <t>EDIT</t>
        </is>
      </c>
      <c r="C18" s="5" t="inlineStr">
        <is>
          <t>Video Editor — video ads, video ngắn, hình ảnh, cắt record và highlight</t>
        </is>
      </c>
    </row>
    <row r="19" ht="15" customHeight="1">
      <c r="B19" s="4" t="inlineStr">
        <is>
          <t>KT/SP</t>
        </is>
      </c>
      <c r="C19" s="5" t="inlineStr">
        <is>
          <t>Kỹ thuật &amp; Support truyền thông lớp học — hạ tầng, Zoom, Zalo, chăm sóc học viên</t>
        </is>
      </c>
    </row>
    <row r="20"/>
    <row r="21" ht="20" customHeight="1">
      <c r="B21" s="3" t="inlineStr">
        <is>
          <t>CÁCH DÙNG FILE</t>
        </is>
      </c>
    </row>
    <row r="22" ht="15" customHeight="1">
      <c r="B22" s="4" t="inlineStr">
        <is>
          <t>1</t>
        </is>
      </c>
      <c r="C22" s="5" t="inlineStr">
        <is>
          <t>Mỗi bộ phận một sheet riêng. Chỉ điền vào cột 'Người phụ trách' và 'Trạng thái' (có dropdown).</t>
        </is>
      </c>
    </row>
    <row r="23" ht="15" customHeight="1">
      <c r="B23" s="4" t="inlineStr">
        <is>
          <t>2</t>
        </is>
      </c>
      <c r="C23" s="5" t="inlineStr">
        <is>
          <t>Sheet '01. Master Timeline' là bản đọc chung trong họp — xem hôm nay ai phải xong việc gì.</t>
        </is>
      </c>
    </row>
    <row r="24" ht="26" customHeight="1">
      <c r="B24" s="4" t="inlineStr">
        <is>
          <t>3</t>
        </is>
      </c>
      <c r="C24" s="5" t="inlineStr">
        <is>
          <t>Việc gắn nhãn CHẶN (nền đỏ) là việc thiếu thì buổi học hoặc phễu bán hàng sập. Xử lý trước mọi việc khác.</t>
        </is>
      </c>
    </row>
    <row r="25" ht="15" customHeight="1">
      <c r="B25" s="4" t="inlineStr">
        <is>
          <t>4</t>
        </is>
      </c>
      <c r="C25" s="5" t="inlineStr">
        <is>
          <t>Sheet '09. Việc CHẶN' gom toàn bộ việc CHẶN vào một chỗ để họp đầu ngày điểm danh trong 5 phút.</t>
        </is>
      </c>
    </row>
    <row r="26" ht="15" customHeight="1">
      <c r="B26" s="4" t="inlineStr">
        <is>
          <t>5</t>
        </is>
      </c>
      <c r="C26" s="5" t="inlineStr">
        <is>
          <t>Sheet '10. Lỗ hổng nguồn lực' liệt kê chỗ 4 nhân sự hiện tại không kham nổi và phương án xử lý.</t>
        </is>
      </c>
    </row>
    <row r="27"/>
    <row r="28" ht="20" customHeight="1">
      <c r="B28" s="3" t="inlineStr">
        <is>
          <t>BA ĐIỀU CẦN QUYẾT NGAY HÔM NAY</t>
        </is>
      </c>
    </row>
    <row r="29" ht="26" customHeight="1">
      <c r="B29" s="4" t="inlineStr">
        <is>
          <t>1. Co-Founder Agent</t>
        </is>
      </c>
      <c r="C29" s="5" t="inlineStr">
        <is>
          <t>Buổi 5 là buổi bán 12–19 triệu, phụ thuộc hoàn toàn vào demo Co-Founder Agent chạy thật. Nếu chưa build xong, đây là rủi ro lớn nhất cả phễu — cần chốt deadline D-4 (07/08).</t>
        </is>
      </c>
    </row>
    <row r="30" ht="26" customHeight="1">
      <c r="B30" s="4" t="inlineStr">
        <is>
          <t>2. Hai case study có số</t>
        </is>
      </c>
      <c r="C30" s="5" t="inlineStr">
        <is>
          <t>Brief ghi rõ case study sản phẩm số (buổi 3) và case study kênh AI (buổi 4) HIỆN CHƯA CÓ. Không có số thật thì phần chốt hai buổi này mất chân đứng.</t>
        </is>
      </c>
    </row>
    <row r="31" ht="26" customHeight="1">
      <c r="B31" s="4" t="inlineStr">
        <is>
          <t>3. Trợ giảng chốt đơn</t>
        </is>
      </c>
      <c r="C31" s="5" t="inlineStr">
        <is>
          <t>Brief yêu cầu 3–4 trợ giảng trực Zalo mỗi buổi. Hiện chỉ có 1 người kiêm cả kỹ thuật. Trong khi An đang giảng thì không ai chốt — mất phần lớn đơn. Cần bổ sung 2–3 người trước D-4.</t>
        </is>
      </c>
    </row>
    <row r="32"/>
    <row r="33">
      <c r="B33" s="3" t="inlineStr">
        <is>
          <t>BẢNG TIẾN ĐỘ TỔNG</t>
        </is>
      </c>
    </row>
    <row r="34">
      <c r="B34" s="6" t="inlineStr">
        <is>
          <t>BỘ PHẬN</t>
        </is>
      </c>
      <c r="C34" s="6" t="inlineStr">
        <is>
          <t>TỔNG VIỆC</t>
        </is>
      </c>
      <c r="D34" s="6" t="inlineStr">
        <is>
          <t>ĐÃ XONG</t>
        </is>
      </c>
      <c r="E34" s="6" t="inlineStr">
        <is>
          <t>ĐANG TẮC</t>
        </is>
      </c>
    </row>
    <row r="35">
      <c r="B35" s="7" t="inlineStr">
        <is>
          <t>Content Planner</t>
        </is>
      </c>
      <c r="C35" s="8">
        <f>COUNTA('02. Content Planner'!H5:H200)</f>
        <v/>
      </c>
      <c r="D35" s="8">
        <f>COUNTIF('02. Content Planner'!H5:H200,"Xong")</f>
        <v/>
      </c>
      <c r="E35" s="8">
        <f>COUNTIF('02. Content Planner'!H5:H200,"Đang tắc")</f>
        <v/>
      </c>
    </row>
    <row r="36">
      <c r="B36" s="7" t="inlineStr">
        <is>
          <t>Ads Performance</t>
        </is>
      </c>
      <c r="C36" s="8">
        <f>COUNTA('03. Ads Performance'!H5:H200)</f>
        <v/>
      </c>
      <c r="D36" s="8">
        <f>COUNTIF('03. Ads Performance'!H5:H200,"Xong")</f>
        <v/>
      </c>
      <c r="E36" s="8">
        <f>COUNTIF('03. Ads Performance'!H5:H200,"Đang tắc")</f>
        <v/>
      </c>
    </row>
    <row r="37">
      <c r="B37" s="7" t="inlineStr">
        <is>
          <t>Video Editor</t>
        </is>
      </c>
      <c r="C37" s="8">
        <f>COUNTA('04. Video Editor'!H5:H200)</f>
        <v/>
      </c>
      <c r="D37" s="8">
        <f>COUNTIF('04. Video Editor'!H5:H200,"Xong")</f>
        <v/>
      </c>
      <c r="E37" s="8">
        <f>COUNTIF('04. Video Editor'!H5:H200,"Đang tắc")</f>
        <v/>
      </c>
    </row>
    <row r="38">
      <c r="B38" s="7" t="inlineStr">
        <is>
          <t>Support &amp; Truyền thông</t>
        </is>
      </c>
      <c r="C38" s="8">
        <f>COUNTA('05. Support &amp; Truyền thông'!H5:H200)</f>
        <v/>
      </c>
      <c r="D38" s="8">
        <f>COUNTIF('05. Support &amp; Truyền thông'!H5:H200,"Xong")</f>
        <v/>
      </c>
      <c r="E38" s="8">
        <f>COUNTIF('05. Support &amp; Truyền thông'!H5:H200,"Đang tắc")</f>
        <v/>
      </c>
    </row>
    <row r="39">
      <c r="B39" s="7" t="inlineStr">
        <is>
          <t>Kỹ thuật &amp; Tổ chức lớp</t>
        </is>
      </c>
      <c r="C39" s="8">
        <f>COUNTA('06. Kỹ thuật &amp; Tổ chức lớp'!H5:H200)</f>
        <v/>
      </c>
      <c r="D39" s="8">
        <f>COUNTIF('06. Kỹ thuật &amp; Tổ chức lớp'!H5:H200,"Xong")</f>
        <v/>
      </c>
      <c r="E39" s="8">
        <f>COUNTIF('06. Kỹ thuật &amp; Tổ chức lớp'!H5:H200,"Đang tắc")</f>
        <v/>
      </c>
    </row>
    <row r="40">
      <c r="B40" s="7" t="inlineStr">
        <is>
          <t>An - Slide &amp; Demo</t>
        </is>
      </c>
      <c r="C40" s="8">
        <f>COUNTA('07. An - Slide &amp; Demo'!H5:H200)</f>
        <v/>
      </c>
      <c r="D40" s="8">
        <f>COUNTIF('07. An - Slide &amp; Demo'!H5:H200,"Xong")</f>
        <v/>
      </c>
      <c r="E40" s="8">
        <f>COUNTIF('07. An - Slide &amp; Demo'!H5:H200,"Đang tắc")</f>
        <v/>
      </c>
    </row>
    <row r="41">
      <c r="B41" s="9" t="inlineStr">
        <is>
          <t>TỔNG CỘNG</t>
        </is>
      </c>
      <c r="C41" s="6">
        <f>SUM(C35:C40)</f>
        <v/>
      </c>
      <c r="D41" s="6">
        <f>SUM(D35:D40)</f>
        <v/>
      </c>
      <c r="E41" s="6">
        <f>SUM(E35:E40)</f>
        <v/>
      </c>
    </row>
  </sheetData>
  <mergeCells count="25">
    <mergeCell ref="C17:F17"/>
    <mergeCell ref="C23:F23"/>
    <mergeCell ref="C8:F8"/>
    <mergeCell ref="C7:F7"/>
    <mergeCell ref="C19:F19"/>
    <mergeCell ref="B21:F21"/>
    <mergeCell ref="C18:F18"/>
    <mergeCell ref="C6:F6"/>
    <mergeCell ref="C30:F30"/>
    <mergeCell ref="C15:F15"/>
    <mergeCell ref="B14:F14"/>
    <mergeCell ref="C24:F24"/>
    <mergeCell ref="C26:F26"/>
    <mergeCell ref="B28:F28"/>
    <mergeCell ref="C29:F29"/>
    <mergeCell ref="C16:F16"/>
    <mergeCell ref="C25:F25"/>
    <mergeCell ref="C10:F10"/>
    <mergeCell ref="C22:F22"/>
    <mergeCell ref="C9:F9"/>
    <mergeCell ref="C31:F31"/>
    <mergeCell ref="B33:F33"/>
    <mergeCell ref="C12:F12"/>
    <mergeCell ref="B5:F5"/>
    <mergeCell ref="C11:F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3" customWidth="1" min="2" max="2"/>
    <col width="34" customWidth="1" min="3" max="3"/>
    <col width="34" customWidth="1" min="4" max="4"/>
    <col width="34" customWidth="1" min="5" max="5"/>
    <col width="34" customWidth="1" min="6" max="6"/>
    <col width="38" customWidth="1" min="7" max="7"/>
  </cols>
  <sheetData>
    <row r="1" ht="22" customHeight="1">
      <c r="A1" s="10" t="inlineStr">
        <is>
          <t>MASTER TIMELINE — 14 NGÀY TRƯỚC, 5 NGÀY LIVE, 3 NGÀY SAU</t>
        </is>
      </c>
    </row>
    <row r="2">
      <c r="A2" s="11" t="inlineStr">
        <is>
          <t>Bản đọc chung trong họp đầu ngày. Ô trống nghĩa là bộ phận đó không có việc chốt hạn trong ngày, không phải rảnh.</t>
        </is>
      </c>
    </row>
    <row r="3"/>
    <row r="4" ht="30" customHeight="1">
      <c r="A4" s="12" t="inlineStr">
        <is>
          <t>MỐC</t>
        </is>
      </c>
      <c r="B4" s="12" t="inlineStr">
        <is>
          <t>NGÀY</t>
        </is>
      </c>
      <c r="C4" s="12" t="inlineStr">
        <is>
          <t>CONTENT (CP)</t>
        </is>
      </c>
      <c r="D4" s="12" t="inlineStr">
        <is>
          <t>QUẢNG CÁO (ADS)</t>
        </is>
      </c>
      <c r="E4" s="12" t="inlineStr">
        <is>
          <t>VIDEO (EDIT)</t>
        </is>
      </c>
      <c r="F4" s="12" t="inlineStr">
        <is>
          <t>KỸ THUẬT &amp; SUPPORT (KT/SP)</t>
        </is>
      </c>
      <c r="G4" s="12" t="inlineStr">
        <is>
          <t>AN — SLIDE &amp; DEMO</t>
        </is>
      </c>
    </row>
    <row r="5" ht="34" customHeight="1">
      <c r="A5" s="13" t="inlineStr">
        <is>
          <t>D-14</t>
        </is>
      </c>
      <c r="B5" s="14" t="inlineStr">
        <is>
          <t>28/07</t>
        </is>
      </c>
      <c r="C5" s="15" t="inlineStr">
        <is>
          <t>Họp kick-off: chốt ngày, chốt vé, chốt người
Chốt big idea + 5 góc thông điệp</t>
        </is>
      </c>
      <c r="D5" s="15" t="inlineStr">
        <is>
          <t>Rà soát tracking hiện có, liệt kê cái còn thiếu</t>
        </is>
      </c>
      <c r="E5" s="15" t="inlineStr">
        <is>
          <t>Nhận brief hình ảnh, dựng moodboard</t>
        </is>
      </c>
      <c r="F5" s="15" t="inlineStr">
        <is>
          <t>Rà soát landing v2, liệt kê phần còn để trống</t>
        </is>
      </c>
      <c r="G5" s="15" t="inlineStr">
        <is>
          <t>Chốt outline 5 buổi từ brief (đã có sẵn)</t>
        </is>
      </c>
    </row>
    <row r="6" ht="34" customHeight="1">
      <c r="A6" s="16" t="inlineStr">
        <is>
          <t>D-13</t>
        </is>
      </c>
      <c r="B6" s="17" t="inlineStr">
        <is>
          <t>29/07</t>
        </is>
      </c>
      <c r="C6" s="18" t="inlineStr">
        <is>
          <t>Viết nội dung landing bản chốt (điền ngày thật, thêm đếm ngược)</t>
        </is>
      </c>
      <c r="D6" s="18" t="inlineStr">
        <is>
          <t>Cài Meta Pixel · GA4 · UTM chuẩn · conversion API</t>
        </is>
      </c>
      <c r="E6" s="18" t="inlineStr">
        <is>
          <t>Quay video mời tham dự của An</t>
        </is>
      </c>
      <c r="F6" s="18" t="inlineStr">
        <is>
          <t>Nâng gói Zoom đủ tải ≥1.000 người</t>
        </is>
      </c>
      <c r="G6" s="18" t="inlineStr">
        <is>
          <t>Slide buổi 1 — bản nháp</t>
        </is>
      </c>
    </row>
    <row r="7" ht="34" customHeight="1">
      <c r="A7" s="13" t="inlineStr">
        <is>
          <t>D-12</t>
        </is>
      </c>
      <c r="B7" s="14" t="inlineStr">
        <is>
          <t>30/07</t>
        </is>
      </c>
      <c r="C7" s="15" t="inlineStr">
        <is>
          <t>Bàn giao 8–10 mẫu ad copy cho ADS
Bàn giao 6–8 kịch bản video ngắn cho EDIT</t>
        </is>
      </c>
      <c r="D7" s="15" t="inlineStr">
        <is>
          <t>Kiểm thử luồng ad → landing → form → thanh toán → Zalo</t>
        </is>
      </c>
      <c r="E7" s="15" t="inlineStr">
        <is>
          <t>Dựng 3–5 biến thể video ad (đổi hook 3 giây)</t>
        </is>
      </c>
      <c r="F7" s="15" t="inlineStr">
        <is>
          <t>Landing 3 hạng vé + cổng thanh toán + trang cảm ơn chạy được</t>
        </is>
      </c>
      <c r="G7" s="15" t="inlineStr">
        <is>
          <t>Slide buổi 1 xong · Dựng agent demo 8 phút</t>
        </is>
      </c>
    </row>
    <row r="8" ht="44" customHeight="1">
      <c r="A8" s="16" t="inlineStr">
        <is>
          <t>D-11</t>
        </is>
      </c>
      <c r="B8" s="17" t="inlineStr">
        <is>
          <t>31/07</t>
        </is>
      </c>
      <c r="C8" s="18" t="inlineStr">
        <is>
          <t>12–15 bài Facebook đợt 1 lên lịch xong</t>
        </is>
      </c>
      <c r="D8" s="18" t="inlineStr">
        <is>
          <t>Dựng cấu trúc chiến dịch, tệp đối tượng
MỞ ADS — 55% ngân sách cho giai đoạn này</t>
        </is>
      </c>
      <c r="E8" s="18" t="inlineStr">
        <is>
          <t>Xuất bộ hình: cover, ảnh 3 hạng vé, timeline 5 buổi</t>
        </is>
      </c>
      <c r="F8" s="18" t="inlineStr">
        <is>
          <t>Cổng thanh toán xử lý được nâng cấp 5→9→11→19</t>
        </is>
      </c>
      <c r="G8" s="18" t="inlineStr">
        <is>
          <t>Slide buổi 2 · Chạy thử demo agent lần 1</t>
        </is>
      </c>
    </row>
    <row r="9" ht="34" customHeight="1">
      <c r="A9" s="13" t="inlineStr">
        <is>
          <t>D-10</t>
        </is>
      </c>
      <c r="B9" s="14" t="inlineStr">
        <is>
          <t>01/08</t>
        </is>
      </c>
      <c r="C9" s="15" t="inlineStr">
        <is>
          <t>Chuỗi email/ZNS mời nâng cấp vé 199k/499k</t>
        </is>
      </c>
      <c r="D9" s="15" t="inlineStr">
        <is>
          <t>Theo dõi CPL 24h đầu, cắt mẫu ad kém</t>
        </is>
      </c>
      <c r="E9" s="15" t="inlineStr">
        <is>
          <t>6–8 video ngắn xong</t>
        </is>
      </c>
      <c r="F9" s="15" t="inlineStr">
        <is>
          <t>Tạo 5 phòng Zoom, bật record cloud, cài poll</t>
        </is>
      </c>
      <c r="G9" s="15" t="inlineStr">
        <is>
          <t>Case study sản phẩm số có số — thu thập dữ liệu</t>
        </is>
      </c>
    </row>
    <row r="10" ht="34" customHeight="1">
      <c r="A10" s="16" t="inlineStr">
        <is>
          <t>D-9</t>
        </is>
      </c>
      <c r="B10" s="17" t="inlineStr">
        <is>
          <t>02/08</t>
        </is>
      </c>
      <c r="C10" s="18" t="inlineStr">
        <is>
          <t>Viết chuỗi 15 tin nhắn Zalo group + nội dung trang cảm ơn</t>
        </is>
      </c>
      <c r="D10" s="18" t="inlineStr">
        <is>
          <t>Bật retarget người vào landing chưa đăng ký</t>
        </is>
      </c>
      <c r="E10" s="18" t="inlineStr">
        <is>
          <t>Video story founder (dùng lại được cho evergreen)</t>
        </is>
      </c>
      <c r="F10" s="18" t="inlineStr">
        <is>
          <t>Dựng Zalo group, quy tắc, tin ghim, tự động hóa</t>
        </is>
      </c>
      <c r="G10" s="18" t="inlineStr">
        <is>
          <t>Slide buổi 3 · Mini app demo chạy được</t>
        </is>
      </c>
    </row>
    <row r="11" ht="34" customHeight="1">
      <c r="A11" s="13" t="inlineStr">
        <is>
          <t>D-8</t>
        </is>
      </c>
      <c r="B11" s="14" t="inlineStr">
        <is>
          <t>03/08</t>
        </is>
      </c>
      <c r="C11" s="15" t="inlineStr">
        <is>
          <t>Bài seeding cộng đồng và nhóm ngành</t>
        </is>
      </c>
      <c r="D11" s="15" t="inlineStr">
        <is>
          <t>Test YouTube + TikTok với 10–15% ngân sách</t>
        </is>
      </c>
      <c r="E11" s="15" t="inlineStr">
        <is>
          <t>Slide template + intro/outro bumper cho Zoom</t>
        </is>
      </c>
      <c r="F11" s="15" t="inlineStr">
        <is>
          <t>Kịch bản trả lời 15 câu hỏi thường gặp</t>
        </is>
      </c>
      <c r="G11" s="15" t="inlineStr">
        <is>
          <t>CASE STUDY SẢN PHẨM SỐ CÓ SỐ — chốt</t>
        </is>
      </c>
    </row>
    <row r="12" ht="44" customHeight="1">
      <c r="A12" s="16" t="inlineStr">
        <is>
          <t>D-7</t>
        </is>
      </c>
      <c r="B12" s="17" t="inlineStr">
        <is>
          <t>04/08</t>
        </is>
      </c>
      <c r="C12" s="18" t="inlineStr">
        <is>
          <t>Bộ 8–10 câu hỏi mồi Q&amp;A cho 5 buổi</t>
        </is>
      </c>
      <c r="D12" s="18" t="inlineStr">
        <is>
          <t>Báo cáo giữa kỳ: CPL, số đăng ký, dự phóng cán đích</t>
        </is>
      </c>
      <c r="E12" s="18" t="inlineStr">
        <is>
          <t>Video hướng dẫn vào lớp (1 phút)</t>
        </is>
      </c>
      <c r="F12" s="18" t="inlineStr">
        <is>
          <t>Cài chuỗi nhắc lịch ZNS/SMS T−24h · T−1h · T−10'
Chính sách hoàn tiền + VAT bằng văn bản</t>
        </is>
      </c>
      <c r="G12" s="18" t="inlineStr">
        <is>
          <t>Slide buổi 4 · Dây chuyền Genful chạy thật</t>
        </is>
      </c>
    </row>
    <row r="13" ht="34" customHeight="1">
      <c r="A13" s="13" t="inlineStr">
        <is>
          <t>D-6</t>
        </is>
      </c>
      <c r="B13" s="14" t="inlineStr">
        <is>
          <t>05/08</t>
        </is>
      </c>
      <c r="C13" s="15" t="inlineStr">
        <is>
          <t>Kịch bản xử lý 5 phản đối cho trợ giảng</t>
        </is>
      </c>
      <c r="D13" s="15" t="inlineStr">
        <is>
          <t>Điều chỉnh ngân sách theo số: tăng nhóm tốt, dừng nhóm kém</t>
        </is>
      </c>
      <c r="E13" s="15" t="inlineStr">
        <is>
          <t>Ảnh/video nhắc lịch cho ZNS và Zalo</t>
        </is>
      </c>
      <c r="F13" s="15" t="inlineStr">
        <is>
          <t>Chốt thêm 2–3 trợ giảng trực Zalo và huấn luyện</t>
        </is>
      </c>
      <c r="G13" s="15" t="inlineStr">
        <is>
          <t>CASE STUDY KÊNH AI CÓ SỐ — chốt</t>
        </is>
      </c>
    </row>
    <row r="14" ht="34" customHeight="1">
      <c r="A14" s="16" t="inlineStr">
        <is>
          <t>D-5</t>
        </is>
      </c>
      <c r="B14" s="17" t="inlineStr">
        <is>
          <t>06/08</t>
        </is>
      </c>
      <c r="C14" s="18" t="inlineStr">
        <is>
          <t>Bài đếm ngược đợt 1 + nội dung mở 3 vòng lặp</t>
        </is>
      </c>
      <c r="D14" s="18" t="inlineStr">
        <is>
          <t>Retarget nâng cấp vé cho người đã đăng ký vé free</t>
        </is>
      </c>
      <c r="E14" s="18" t="inlineStr">
        <is>
          <t>Cắt teaser demo (agent · mini app · Genful) làm bằng chứng</t>
        </is>
      </c>
      <c r="F14" s="18" t="inlineStr">
        <is>
          <t>Tự đăng ký thử bằng số lạ, kiểm thử toàn luồng</t>
        </is>
      </c>
      <c r="G14" s="18" t="inlineStr">
        <is>
          <t>CO-FOUNDER AGENT — build xong, demo được live</t>
        </is>
      </c>
    </row>
    <row r="15" ht="34" customHeight="1">
      <c r="A15" s="13" t="inlineStr">
        <is>
          <t>D-4</t>
        </is>
      </c>
      <c r="B15" s="14" t="inlineStr">
        <is>
          <t>07/08</t>
        </is>
      </c>
      <c r="C15" s="15" t="inlineStr">
        <is>
          <t>Nội dung công bố cơ chế nâng cấp 48 giờ (chuẩn bị sẵn cho buổi 2)</t>
        </is>
      </c>
      <c r="D15" s="15" t="inlineStr">
        <is>
          <t>Chuyển 30% ngân sách sang giai đoạn nước rút</t>
        </is>
      </c>
      <c r="E15" s="15" t="inlineStr">
        <is>
          <t>Đóng gói bộ hình dùng trong tuần live</t>
        </is>
      </c>
      <c r="F15" s="15" t="inlineStr">
        <is>
          <t>Test đường truyền, âm thanh, 2 màn hình, chia sẻ màn hình</t>
        </is>
      </c>
      <c r="G15" s="15" t="inlineStr">
        <is>
          <t>Slide buổi 5 · Bản đồ 90 ngày · Form kim cương</t>
        </is>
      </c>
    </row>
    <row r="16" ht="44" customHeight="1">
      <c r="A16" s="16" t="inlineStr">
        <is>
          <t>D-3</t>
        </is>
      </c>
      <c r="B16" s="17" t="inlineStr">
        <is>
          <t>08/08</t>
        </is>
      </c>
      <c r="C16" s="18" t="inlineStr">
        <is>
          <t>Bài đếm ngược đợt 2 + bài chứng minh</t>
        </is>
      </c>
      <c r="D16" s="18" t="inlineStr">
        <is>
          <t>Đẩy mạnh nhóm quảng cáo có CPL tốt nhất</t>
        </is>
      </c>
      <c r="E16" s="18" t="inlineStr">
        <is>
          <t>Xuất video nhắc lịch cuối</t>
        </is>
      </c>
      <c r="F16" s="18" t="inlineStr">
        <is>
          <t>Đồng bộ danh sách: form landing ↔ Zalo ↔ Zoom
Bộ 12 agent mẫu đóng gói cài 1 cú nhấn</t>
        </is>
      </c>
      <c r="G16" s="18" t="inlineStr">
        <is>
          <t>Tổng duyệt slide 5 buổi</t>
        </is>
      </c>
    </row>
    <row r="17" ht="44" customHeight="1">
      <c r="A17" s="13" t="inlineStr">
        <is>
          <t>D-2</t>
        </is>
      </c>
      <c r="B17" s="14" t="inlineStr">
        <is>
          <t>09/08</t>
        </is>
      </c>
      <c r="C17" s="15" t="inlineStr">
        <is>
          <t>Lên lịch toàn bộ nội dung tuần live</t>
        </is>
      </c>
      <c r="D17" s="15" t="inlineStr">
        <is>
          <t>Khóa cấu hình, chỉ theo dõi và điều chỉnh nhẹ</t>
        </is>
      </c>
      <c r="E17" s="15" t="inlineStr">
        <is>
          <t>Sẵn sàng ca cắt highlight hằng ngày</t>
        </is>
      </c>
      <c r="F17" s="15" t="inlineStr">
        <is>
          <t>DIỄN TẬP KỸ THUẬT ĐẦY ĐỦ với An trên đường truyền thật
Phương án B: máy dự phòng, 4G, video demo quay sẵn</t>
        </is>
      </c>
      <c r="G17" s="15" t="inlineStr">
        <is>
          <t>Chạy thử toàn bộ demo lần cuối</t>
        </is>
      </c>
    </row>
    <row r="18" ht="34" customHeight="1">
      <c r="A18" s="16" t="inlineStr">
        <is>
          <t>D-1</t>
        </is>
      </c>
      <c r="B18" s="17" t="inlineStr">
        <is>
          <t>10/08</t>
        </is>
      </c>
      <c r="C18" s="18" t="inlineStr">
        <is>
          <t>Tin nhắn nhắc lịch T−24h gửi đi</t>
        </is>
      </c>
      <c r="D18" s="18" t="inlineStr">
        <is>
          <t>Kiểm tra tổng đăng ký so với mục tiêu, báo cáo</t>
        </is>
      </c>
      <c r="E18" s="18" t="inlineStr">
        <is>
          <t>Nghỉ, giữ sức cho tuần live</t>
        </is>
      </c>
      <c r="F18" s="18" t="inlineStr">
        <is>
          <t>Gửi link Zoom cho toàn bộ danh sách, mở phòng thử</t>
        </is>
      </c>
      <c r="G18" s="18" t="inlineStr">
        <is>
          <t>KHÔNG SỬA SLIDE. Nghỉ ngơi, giữ giọng</t>
        </is>
      </c>
    </row>
    <row r="19" ht="34" customHeight="1">
      <c r="A19" s="19" t="inlineStr">
        <is>
          <t>D0</t>
        </is>
      </c>
      <c r="B19" s="20" t="inlineStr">
        <is>
          <t>11/08  ★ LIVE</t>
        </is>
      </c>
      <c r="C19" s="21" t="inlineStr">
        <is>
          <t>Bài live-post trong buổi + mở 3 vòng lặp</t>
        </is>
      </c>
      <c r="D19" s="21" t="inlineStr">
        <is>
          <t>Tạm dừng campaign lead nếu đủ số, giữ retarget</t>
        </is>
      </c>
      <c r="E19" s="21" t="inlineStr">
        <is>
          <t>Nhận record, cắt 2–3 highlight</t>
        </is>
      </c>
      <c r="F19" s="21" t="inlineStr">
        <is>
          <t>19:30 mở phòng · Chạy poll 4 cấp độ · Ghi nhận người quan tâm</t>
        </is>
      </c>
      <c r="G19" s="22" t="inlineStr">
        <is>
          <t>BUỔI 1 — Bức tranh lớn. KHÔNG bán khóa, chỉ mời nâng cấp vé</t>
        </is>
      </c>
    </row>
    <row r="20" ht="34" customHeight="1">
      <c r="A20" s="19" t="inlineStr">
        <is>
          <t>D+1</t>
        </is>
      </c>
      <c r="B20" s="20" t="inlineStr">
        <is>
          <t>12/08  ★ LIVE</t>
        </is>
      </c>
      <c r="C20" s="21" t="inlineStr">
        <is>
          <t>Recap buổi 1 trước 12h + bài mở vòng lặp buổi 2
Công bố cơ chế nâng cấp 48 giờ</t>
        </is>
      </c>
      <c r="D20" s="21" t="inlineStr">
        <is>
          <t>Bật quảng cáo bán khóa cho người đã dự buổi</t>
        </is>
      </c>
      <c r="E20" s="21" t="inlineStr">
        <is>
          <t>Giao highlight buổi 1 trước 11h · Xuất record cho vé trả phí</t>
        </is>
      </c>
      <c r="F20" s="21" t="inlineStr">
        <is>
          <t>Chốt đơn song song qua Zalo từ 21:45 · 3–4 người trực</t>
        </is>
      </c>
      <c r="G20" s="22" t="inlineStr">
        <is>
          <t>BUỔI 2 — Demo dựng agent 8 phút. Bán Cấp 1 (5tr)</t>
        </is>
      </c>
    </row>
    <row r="21" ht="34" customHeight="1">
      <c r="A21" s="19" t="inlineStr">
        <is>
          <t>D+2</t>
        </is>
      </c>
      <c r="B21" s="20" t="inlineStr">
        <is>
          <t>13/08  ★ LIVE</t>
        </is>
      </c>
      <c r="C21" s="21" t="inlineStr">
        <is>
          <t>Recap buổi 2 + bài chứng minh có screenshot học viên</t>
        </is>
      </c>
      <c r="D21" s="21" t="inlineStr">
        <is>
          <t>Retarget người dự buổi 2 chưa mua</t>
        </is>
      </c>
      <c r="E21" s="21" t="inlineStr">
        <is>
          <t>Cắt clip demo agent làm bằng chứng xã hội</t>
        </is>
      </c>
      <c r="F21" s="21" t="inlineStr">
        <is>
          <t>Gọi lại danh sách quan tâm buổi 2 trong 24h</t>
        </is>
      </c>
      <c r="G21" s="22" t="inlineStr">
        <is>
          <t>BUỔI 3 — Demo mini app. Bán Cấp 2 (5tr) + Gói 2 khóa (9tr)</t>
        </is>
      </c>
    </row>
    <row r="22" ht="34" customHeight="1">
      <c r="A22" s="19" t="inlineStr">
        <is>
          <t>D+3</t>
        </is>
      </c>
      <c r="B22" s="20" t="inlineStr">
        <is>
          <t>14/08  ★ LIVE</t>
        </is>
      </c>
      <c r="C22" s="21" t="inlineStr">
        <is>
          <t>Recap buổi 3 + nội dung nhắm tệp creator cho buổi 4</t>
        </is>
      </c>
      <c r="D22" s="21" t="inlineStr">
        <is>
          <t>Đẩy retarget mạnh trước buổi chốt lớn</t>
        </is>
      </c>
      <c r="E22" s="21" t="inlineStr">
        <is>
          <t>Cắt clip demo mini app · highlight buổi 3</t>
        </is>
      </c>
      <c r="F22" s="21" t="inlineStr">
        <is>
          <t>Chuẩn bị form kim cương và luồng routing</t>
        </is>
      </c>
      <c r="G22" s="22" t="inlineStr">
        <is>
          <t>BUỔI 4 — Demo Genful. Bán Cấp 3 (5tr) + Gói 3 khóa (11tr)</t>
        </is>
      </c>
    </row>
    <row r="23" ht="34" customHeight="1">
      <c r="A23" s="19" t="inlineStr">
        <is>
          <t>D+4</t>
        </is>
      </c>
      <c r="B23" s="20" t="inlineStr">
        <is>
          <t>15/08  ★ LIVE</t>
        </is>
      </c>
      <c r="C23" s="21" t="inlineStr">
        <is>
          <t>Recap buổi 4 + nội dung dồn cho buổi chốt lớn</t>
        </is>
      </c>
      <c r="D23" s="21" t="inlineStr">
        <is>
          <t>Ngân sách còn lại dồn cho tệp chủ doanh nghiệp</t>
        </is>
      </c>
      <c r="E23" s="21" t="inlineStr">
        <is>
          <t>Cắt clip dây chuyền Genful — demo mạnh nhất về thị giác</t>
        </is>
      </c>
      <c r="F23" s="21" t="inlineStr">
        <is>
          <t>Trực chốt đông nhất buổi này · Q&amp;A kéo tới 22:45</t>
        </is>
      </c>
      <c r="G23" s="22" t="inlineStr">
        <is>
          <t>BUỔI 5 — Demo Co-Founder Agent. Bán 12tr + Trọn bộ 19tr
Công bố gia hạn 48 giờ</t>
        </is>
      </c>
    </row>
    <row r="24" ht="34" customHeight="1">
      <c r="A24" s="16" t="inlineStr">
        <is>
          <t>D+5</t>
        </is>
      </c>
      <c r="B24" s="17" t="inlineStr">
        <is>
          <t>16/08</t>
        </is>
      </c>
      <c r="C24" s="18" t="inlineStr">
        <is>
          <t>Chuỗi 3 bài/tin nhắn chốt trong 48 giờ gia hạn</t>
        </is>
      </c>
      <c r="D24" s="18" t="inlineStr">
        <is>
          <t>Retarget 48 giờ gia hạn cho toàn bộ người đã dự</t>
        </is>
      </c>
      <c r="E24" s="18" t="inlineStr">
        <is>
          <t>Đóng gói full record 5 buổi có chương mục</t>
        </is>
      </c>
      <c r="F24" s="18" t="inlineStr">
        <is>
          <t>XỬ LÝ FORM KIM CƯƠNG TRONG 24 GIỜ — 1 người có tên</t>
        </is>
      </c>
      <c r="G24" s="18" t="inlineStr">
        <is>
          <t>Duyệt danh sách lead Solution / Elite</t>
        </is>
      </c>
    </row>
    <row r="25" ht="34" customHeight="1">
      <c r="A25" s="13" t="inlineStr">
        <is>
          <t>D+6</t>
        </is>
      </c>
      <c r="B25" s="14" t="inlineStr">
        <is>
          <t>17/08</t>
        </is>
      </c>
      <c r="C25" s="15" t="inlineStr">
        <is>
          <t>Bài tổng kết + thu thập testimonial</t>
        </is>
      </c>
      <c r="D25" s="15" t="inlineStr">
        <is>
          <t>Báo cáo tổng: CPL, đăng ký, show rate, doanh thu, CAC từng gói</t>
        </is>
      </c>
      <c r="E25" s="15" t="inlineStr">
        <is>
          <t>Dựng video sales dùng cho chuỗi sau</t>
        </is>
      </c>
      <c r="F25" s="15" t="inlineStr">
        <is>
          <t>Gọi lại toàn bộ danh sách quan tâm chưa chốt</t>
        </is>
      </c>
      <c r="G25" s="15" t="inlineStr">
        <is>
          <t>Chốt các deal lớn còn treo</t>
        </is>
      </c>
    </row>
    <row r="26" ht="34" customHeight="1">
      <c r="A26" s="16" t="inlineStr">
        <is>
          <t>D+7</t>
        </is>
      </c>
      <c r="B26" s="17" t="inlineStr">
        <is>
          <t>18/08</t>
        </is>
      </c>
      <c r="C26" s="18" t="inlineStr">
        <is>
          <t>Đóng gói nội dung tái sử dụng cho chuỗi sau</t>
        </is>
      </c>
      <c r="D26" s="18" t="inlineStr">
        <is>
          <t>Lưu tệp đối tượng và dữ liệu học máy cho lần chạy sau</t>
        </is>
      </c>
      <c r="E26" s="18" t="inlineStr">
        <is>
          <t>Lưu trữ tài sản vào thư mục chuẩn</t>
        </is>
      </c>
      <c r="F26" s="18" t="inlineStr">
        <is>
          <t>Bàn giao học viên đã mua sang lớp chính · Đóng vòng gia hạn</t>
        </is>
      </c>
      <c r="G26" s="18" t="inlineStr">
        <is>
          <t>HỌP RÚT KINH NGHIỆM — cập nhật brief cho chuỗi sau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showGridLines="0" workbookViewId="0">
      <pane ySplit="4" topLeftCell="A5" activePane="bottomLeft" state="frozen"/>
      <selection pane="bottomLeft" activeCell="A1" sqref="A1"/>
    </sheetView>
  </sheetViews>
  <sheetFormatPr baseColWidth="8" defaultRowHeight="15"/>
  <cols>
    <col width="8" customWidth="1" min="1" max="1"/>
    <col width="8" customWidth="1" min="2" max="2"/>
    <col width="11" customWidth="1" min="3" max="3"/>
    <col width="44" customWidth="1" min="4" max="4"/>
    <col width="66" customWidth="1" min="5" max="5"/>
    <col width="12" customWidth="1" min="6" max="6"/>
    <col width="18" customWidth="1" min="7" max="7"/>
    <col width="15" customWidth="1" min="8" max="8"/>
  </cols>
  <sheetData>
    <row r="1" ht="22" customHeight="1">
      <c r="A1" s="10" t="inlineStr">
        <is>
          <t>CONTENT PLANNER</t>
        </is>
      </c>
    </row>
    <row r="2">
      <c r="A2" s="11" t="inlineStr">
        <is>
          <t>Nội dung kéo đăng ký → giữ nhiệt trong tuần live → chốt trong 48 giờ gia hạn</t>
        </is>
      </c>
    </row>
    <row r="3"/>
    <row r="4" ht="28" customHeight="1">
      <c r="A4" s="12" t="inlineStr">
        <is>
          <t>Mã</t>
        </is>
      </c>
      <c r="B4" s="12" t="inlineStr">
        <is>
          <t>Mốc</t>
        </is>
      </c>
      <c r="C4" s="12" t="inlineStr">
        <is>
          <t>Hạn chót</t>
        </is>
      </c>
      <c r="D4" s="12" t="inlineStr">
        <is>
          <t>ĐẦU VIỆC</t>
        </is>
      </c>
      <c r="E4" s="12" t="inlineStr">
        <is>
          <t>TIÊU CHUẨN HOÀN THÀNH / GHI CHÚ</t>
        </is>
      </c>
      <c r="F4" s="12" t="inlineStr">
        <is>
          <t>Mức</t>
        </is>
      </c>
      <c r="G4" s="12" t="inlineStr">
        <is>
          <t>Người phụ trách</t>
        </is>
      </c>
      <c r="H4" s="12" t="inlineStr">
        <is>
          <t>Trạng thái</t>
        </is>
      </c>
    </row>
    <row r="5" ht="20" customHeight="1">
      <c r="A5" s="23" t="inlineStr">
        <is>
          <t>GIAI ĐOẠN 1 — TRƯỚC KHAI GIẢNG (D-14 → D-1)</t>
        </is>
      </c>
      <c r="B5" s="24" t="n"/>
      <c r="C5" s="24" t="n"/>
      <c r="D5" s="24" t="n"/>
      <c r="E5" s="24" t="n"/>
      <c r="F5" s="24" t="n"/>
      <c r="G5" s="24" t="n"/>
      <c r="H5" s="25" t="n"/>
    </row>
    <row r="6" ht="84" customHeight="1">
      <c r="A6" s="26" t="inlineStr">
        <is>
          <t>CP-01</t>
        </is>
      </c>
      <c r="B6" s="26" t="inlineStr">
        <is>
          <t>D-14</t>
        </is>
      </c>
      <c r="C6" s="26" t="inlineStr">
        <is>
          <t>28/07</t>
        </is>
      </c>
      <c r="D6" s="27" t="inlineStr">
        <is>
          <t>Chốt big idea và 5 góc thông điệp cho cả chiến dịch</t>
        </is>
      </c>
      <c r="E6" s="28" t="inlineStr">
        <is>
          <t>Bám đúng 5 niềm tin cần phá trong brief: thiếu công cụ→thiếu kiến trúc · phải biết code→agent là nhân viên · sản phẩm số phải dân công nghệ→chuyên môn là hàng tồn kho · muốn có kênh phải lên hình→50-70 video/ngày không lên hình · chỉ tập đoàn làm được→SME tách được trong 4 tuần. Mỗi góc là một tuyến nội dung riêng.</t>
        </is>
      </c>
      <c r="F6" s="29" t="inlineStr">
        <is>
          <t>CHẶN</t>
        </is>
      </c>
      <c r="G6" s="30" t="inlineStr">
        <is>
          <t>CP</t>
        </is>
      </c>
      <c r="H6" s="26" t="inlineStr">
        <is>
          <t>Chưa bắt đầu</t>
        </is>
      </c>
    </row>
    <row r="7" ht="56" customHeight="1">
      <c r="A7" s="26" t="inlineStr">
        <is>
          <t>CP-02</t>
        </is>
      </c>
      <c r="B7" s="26" t="inlineStr">
        <is>
          <t>D-13</t>
        </is>
      </c>
      <c r="C7" s="26" t="inlineStr">
        <is>
          <t>29/07</t>
        </is>
      </c>
      <c r="D7" s="27" t="inlineStr">
        <is>
          <t>Viết nội dung landing page bản chốt</t>
        </is>
      </c>
      <c r="E7" s="28" t="inlineStr">
        <is>
          <t>Điền ngày thật thay cho [NGÀY TỔ CHỨC] và [20:00-22:00] trong bản v2 · thêm khối đếm ngược · thêm phần trả lời câu hỏi thường gặp về hóa đơn VAT và chính sách hoàn tiền · kiểm tra lại 3 nút CTA dẫn đúng cổng thanh toán.</t>
        </is>
      </c>
      <c r="F7" s="29" t="inlineStr">
        <is>
          <t>CHẶN</t>
        </is>
      </c>
      <c r="G7" s="30" t="inlineStr">
        <is>
          <t>CP</t>
        </is>
      </c>
      <c r="H7" s="26" t="inlineStr">
        <is>
          <t>Chưa bắt đầu</t>
        </is>
      </c>
    </row>
    <row r="8" ht="56" customHeight="1">
      <c r="A8" s="26" t="inlineStr">
        <is>
          <t>CP-03</t>
        </is>
      </c>
      <c r="B8" s="26" t="inlineStr">
        <is>
          <t>D-12</t>
        </is>
      </c>
      <c r="C8" s="26" t="inlineStr">
        <is>
          <t>30/07</t>
        </is>
      </c>
      <c r="D8" s="27" t="inlineStr">
        <is>
          <t>Bàn giao 8–10 mẫu ad copy cho ADS</t>
        </is>
      </c>
      <c r="E8" s="28" t="inlineStr">
        <is>
          <t>Chia 4 nhóm hook: 3 hook đau (quá tải việc lặp, 132 triệu/năm cho một việc thủ công) · 3 hook tò mò (12 agent chạy nền) · 2 hook chứng minh (case có số) · 2 hook khan hiếm (vé Free có hạn). Mỗi mẫu kèm 3 biến thể dòng đầu.</t>
        </is>
      </c>
      <c r="F8" s="29" t="inlineStr">
        <is>
          <t>CHẶN</t>
        </is>
      </c>
      <c r="G8" s="30" t="inlineStr">
        <is>
          <t>CP</t>
        </is>
      </c>
      <c r="H8" s="26" t="inlineStr">
        <is>
          <t>Chưa bắt đầu</t>
        </is>
      </c>
    </row>
    <row r="9" ht="28" customHeight="1">
      <c r="A9" s="31" t="inlineStr">
        <is>
          <t>CP-04</t>
        </is>
      </c>
      <c r="B9" s="31" t="inlineStr">
        <is>
          <t>D-12</t>
        </is>
      </c>
      <c r="C9" s="31" t="inlineStr">
        <is>
          <t>30/07</t>
        </is>
      </c>
      <c r="D9" s="32" t="inlineStr">
        <is>
          <t>Bàn giao 6–8 kịch bản video ngắn cho EDIT</t>
        </is>
      </c>
      <c r="E9" s="33" t="inlineStr">
        <is>
          <t>Mỗi kịch bản viết rõ lời hook 3 giây đầu, không mô tả chung chung. Độ dài 15–45 giây. Ghi rõ phục vụ góc thông điệp nào.</t>
        </is>
      </c>
      <c r="F9" s="31" t="inlineStr">
        <is>
          <t>Quan trọng</t>
        </is>
      </c>
      <c r="G9" s="34" t="inlineStr">
        <is>
          <t>CP</t>
        </is>
      </c>
      <c r="H9" s="31" t="inlineStr">
        <is>
          <t>Chưa bắt đầu</t>
        </is>
      </c>
    </row>
    <row r="10" ht="42" customHeight="1">
      <c r="A10" s="31" t="inlineStr">
        <is>
          <t>CP-05</t>
        </is>
      </c>
      <c r="B10" s="31" t="inlineStr">
        <is>
          <t>D-11</t>
        </is>
      </c>
      <c r="C10" s="31" t="inlineStr">
        <is>
          <t>31/07</t>
        </is>
      </c>
      <c r="D10" s="32" t="inlineStr">
        <is>
          <t>Viết và lên lịch 12–15 bài Facebook đợt 1</t>
        </is>
      </c>
      <c r="E10" s="33" t="inlineStr">
        <is>
          <t>Trên trang cá nhân An và fanpage: 3 bài đau · 3 bài chứng minh · 3 bài phá niềm tin · 3 bài giới thiệu vé · 2 bài đếm ngược. Lên lịch sẵn, không viết tay từng ngày.</t>
        </is>
      </c>
      <c r="F10" s="31" t="inlineStr">
        <is>
          <t>Quan trọng</t>
        </is>
      </c>
      <c r="G10" s="34" t="inlineStr">
        <is>
          <t>CP</t>
        </is>
      </c>
      <c r="H10" s="31" t="inlineStr">
        <is>
          <t>Chưa bắt đầu</t>
        </is>
      </c>
    </row>
    <row r="11" ht="56" customHeight="1">
      <c r="A11" s="31" t="inlineStr">
        <is>
          <t>CP-06</t>
        </is>
      </c>
      <c r="B11" s="31" t="inlineStr">
        <is>
          <t>D-10</t>
        </is>
      </c>
      <c r="C11" s="31" t="inlineStr">
        <is>
          <t>01/08</t>
        </is>
      </c>
      <c r="D11" s="32" t="inlineStr">
        <is>
          <t>Chuỗi email/ZNS mời nâng cấp vé 199K và 499K</t>
        </is>
      </c>
      <c r="E11" s="33" t="inlineStr">
        <is>
          <t>3 tin: (1) ngay sau khi đăng ký vé Free — nêu giá trị record · (2) D-5 — nêu bộ template và AI Skill của vé 499K · (3) D-1 — nhắc lần cuối. Đây là nguồn doanh thu đầu tiên trước khi chuỗi bắt đầu.</t>
        </is>
      </c>
      <c r="F11" s="31" t="inlineStr">
        <is>
          <t>Quan trọng</t>
        </is>
      </c>
      <c r="G11" s="34" t="inlineStr">
        <is>
          <t>CP</t>
        </is>
      </c>
      <c r="H11" s="31" t="inlineStr">
        <is>
          <t>Chưa bắt đầu</t>
        </is>
      </c>
    </row>
    <row r="12" ht="42" customHeight="1">
      <c r="A12" s="26" t="inlineStr">
        <is>
          <t>CP-07</t>
        </is>
      </c>
      <c r="B12" s="26" t="inlineStr">
        <is>
          <t>D-9</t>
        </is>
      </c>
      <c r="C12" s="26" t="inlineStr">
        <is>
          <t>02/08</t>
        </is>
      </c>
      <c r="D12" s="27" t="inlineStr">
        <is>
          <t>Viết chuỗi 15 tin nhắn Zalo group</t>
        </is>
      </c>
      <c r="E12" s="28" t="inlineStr">
        <is>
          <t>1 tin chào mừng + 4 tin giá trị trước buổi 1 + 10 tin nhắc lịch (T−24h, T−1h, T−10 phút cho 5 buổi). Viết sẵn toàn bộ, giao KT/SP hẹn giờ. Show rate quyết định mọi thứ phía sau.</t>
        </is>
      </c>
      <c r="F12" s="29" t="inlineStr">
        <is>
          <t>CHẶN</t>
        </is>
      </c>
      <c r="G12" s="30" t="inlineStr">
        <is>
          <t>CP</t>
        </is>
      </c>
      <c r="H12" s="26" t="inlineStr">
        <is>
          <t>Chưa bắt đầu</t>
        </is>
      </c>
    </row>
    <row r="13" ht="28" customHeight="1">
      <c r="A13" s="31" t="inlineStr">
        <is>
          <t>CP-08</t>
        </is>
      </c>
      <c r="B13" s="31" t="inlineStr">
        <is>
          <t>D-9</t>
        </is>
      </c>
      <c r="C13" s="31" t="inlineStr">
        <is>
          <t>02/08</t>
        </is>
      </c>
      <c r="D13" s="32" t="inlineStr">
        <is>
          <t>Nội dung trang cảm ơn và tin nhắn tự động sau thanh toán</t>
        </is>
      </c>
      <c r="E13" s="33" t="inlineStr">
        <is>
          <t>Trang cảm ơn phải nói rõ 3 bước tiếp theo: vào Zalo group → nhận link Zoom → lịch 5 buổi. Không để khách tự đoán.</t>
        </is>
      </c>
      <c r="F13" s="31" t="inlineStr">
        <is>
          <t>Quan trọng</t>
        </is>
      </c>
      <c r="G13" s="34" t="inlineStr">
        <is>
          <t>CP</t>
        </is>
      </c>
      <c r="H13" s="31" t="inlineStr">
        <is>
          <t>Chưa bắt đầu</t>
        </is>
      </c>
    </row>
    <row r="14" ht="28" customHeight="1">
      <c r="A14" s="31" t="inlineStr">
        <is>
          <t>CP-09</t>
        </is>
      </c>
      <c r="B14" s="31" t="inlineStr">
        <is>
          <t>D-8</t>
        </is>
      </c>
      <c r="C14" s="31" t="inlineStr">
        <is>
          <t>03/08</t>
        </is>
      </c>
      <c r="D14" s="32" t="inlineStr">
        <is>
          <t>Bài seeding trong cộng đồng và nhóm ngành</t>
        </is>
      </c>
      <c r="E14" s="33" t="inlineStr">
        <is>
          <t>Danh sách 15–20 nhóm phù hợp tệp founder/SME/creator. Viết 3 mẫu bài khác nhau, không copy một bài đăng khắp nơi.</t>
        </is>
      </c>
      <c r="F14" s="31" t="inlineStr">
        <is>
          <t>Nên có</t>
        </is>
      </c>
      <c r="G14" s="34" t="inlineStr">
        <is>
          <t>CP</t>
        </is>
      </c>
      <c r="H14" s="31" t="inlineStr">
        <is>
          <t>Chưa bắt đầu</t>
        </is>
      </c>
    </row>
    <row r="15" ht="28" customHeight="1">
      <c r="A15" s="26" t="inlineStr">
        <is>
          <t>CP-10</t>
        </is>
      </c>
      <c r="B15" s="26" t="inlineStr">
        <is>
          <t>D-7</t>
        </is>
      </c>
      <c r="C15" s="26" t="inlineStr">
        <is>
          <t>04/08</t>
        </is>
      </c>
      <c r="D15" s="27" t="inlineStr">
        <is>
          <t>Bộ 8–10 câu hỏi mồi Q&amp;A cho từng buổi (5 bộ)</t>
        </is>
      </c>
      <c r="E15" s="28" t="inlineStr">
        <is>
          <t>Brief ghi ~75% đơn xảy ra ở phần Q&amp;A. Câu mồi phải dẫn đúng vào phản đối cần gỡ của buổi đó. An duyệt trước D-5.</t>
        </is>
      </c>
      <c r="F15" s="29" t="inlineStr">
        <is>
          <t>CHẶN</t>
        </is>
      </c>
      <c r="G15" s="30" t="inlineStr">
        <is>
          <t>CP</t>
        </is>
      </c>
      <c r="H15" s="26" t="inlineStr">
        <is>
          <t>Chưa bắt đầu</t>
        </is>
      </c>
    </row>
    <row r="16" ht="42" customHeight="1">
      <c r="A16" s="26" t="inlineStr">
        <is>
          <t>CP-11</t>
        </is>
      </c>
      <c r="B16" s="26" t="inlineStr">
        <is>
          <t>D-6</t>
        </is>
      </c>
      <c r="C16" s="26" t="inlineStr">
        <is>
          <t>05/08</t>
        </is>
      </c>
      <c r="D16" s="27" t="inlineStr">
        <is>
          <t>Kịch bản xử lý 5 phản đối cho trợ giảng chốt Zalo</t>
        </is>
      </c>
      <c r="E16" s="28" t="inlineStr">
        <is>
          <t>Đắt quá · không biết công nghệ · cần bàn với BOD · từng mua khóa rồi không làm · team không dùng được. Mỗi phản đối 1 đoạn trả lời mẫu dán được ngay, không quá 5 dòng.</t>
        </is>
      </c>
      <c r="F16" s="29" t="inlineStr">
        <is>
          <t>CHẶN</t>
        </is>
      </c>
      <c r="G16" s="30" t="inlineStr">
        <is>
          <t>CP</t>
        </is>
      </c>
      <c r="H16" s="26" t="inlineStr">
        <is>
          <t>Chưa bắt đầu</t>
        </is>
      </c>
    </row>
    <row r="17" ht="28" customHeight="1">
      <c r="A17" s="31" t="inlineStr">
        <is>
          <t>CP-12</t>
        </is>
      </c>
      <c r="B17" s="31" t="inlineStr">
        <is>
          <t>D-5</t>
        </is>
      </c>
      <c r="C17" s="31" t="inlineStr">
        <is>
          <t>06/08</t>
        </is>
      </c>
      <c r="D17" s="32" t="inlineStr">
        <is>
          <t>Bài đếm ngược đợt 1 và nội dung mở 3 vòng lặp</t>
        </is>
      </c>
      <c r="E17" s="33" t="inlineStr">
        <is>
          <t>Brief yêu cầu buổi 1 mở 3 vòng lặp cho buổi 3, 4, 5 — nói cụ thể, không úp mở. Nội dung trước buổi phải bắt đầu gieo sẵn.</t>
        </is>
      </c>
      <c r="F17" s="31" t="inlineStr">
        <is>
          <t>Quan trọng</t>
        </is>
      </c>
      <c r="G17" s="34" t="inlineStr">
        <is>
          <t>CP</t>
        </is>
      </c>
      <c r="H17" s="31" t="inlineStr">
        <is>
          <t>Chưa bắt đầu</t>
        </is>
      </c>
    </row>
    <row r="18" ht="56" customHeight="1">
      <c r="A18" s="26" t="inlineStr">
        <is>
          <t>CP-13</t>
        </is>
      </c>
      <c r="B18" s="26" t="inlineStr">
        <is>
          <t>D-4</t>
        </is>
      </c>
      <c r="C18" s="26" t="inlineStr">
        <is>
          <t>07/08</t>
        </is>
      </c>
      <c r="D18" s="27" t="inlineStr">
        <is>
          <t>Soạn sẵn nội dung công bố cơ chế nâng cấp 48 giờ</t>
        </is>
      </c>
      <c r="E18" s="28" t="inlineStr">
        <is>
          <t>Đăng ngay sau buổi 2, TRƯỚC lần chốt đầu tiên. Ba đường đi đều về 19 triệu: không ai bị phạt vì mua sớm, không ai được thưởng vì chờ. Câu chữ phải khớp tuyệt đối với lời An nói trên sóng.</t>
        </is>
      </c>
      <c r="F18" s="29" t="inlineStr">
        <is>
          <t>CHẶN</t>
        </is>
      </c>
      <c r="G18" s="30" t="inlineStr">
        <is>
          <t>CP</t>
        </is>
      </c>
      <c r="H18" s="26" t="inlineStr">
        <is>
          <t>Chưa bắt đầu</t>
        </is>
      </c>
    </row>
    <row r="19" ht="42" customHeight="1">
      <c r="A19" s="31" t="inlineStr">
        <is>
          <t>CP-14</t>
        </is>
      </c>
      <c r="B19" s="31" t="inlineStr">
        <is>
          <t>D-2</t>
        </is>
      </c>
      <c r="C19" s="31" t="inlineStr">
        <is>
          <t>09/08</t>
        </is>
      </c>
      <c r="D19" s="32" t="inlineStr">
        <is>
          <t>Lên lịch toàn bộ nội dung tuần live</t>
        </is>
      </c>
      <c r="E19" s="33" t="inlineStr">
        <is>
          <t>Tuần live không còn thời gian ngồi viết. Mọi bài recap, bài mở vòng lặp, caption clip phải có bản nháp sẵn, tuần live chỉ điền số liệu thật vào.</t>
        </is>
      </c>
      <c r="F19" s="31" t="inlineStr">
        <is>
          <t>Quan trọng</t>
        </is>
      </c>
      <c r="G19" s="34" t="inlineStr">
        <is>
          <t>CP</t>
        </is>
      </c>
      <c r="H19" s="31" t="inlineStr">
        <is>
          <t>Chưa bắt đầu</t>
        </is>
      </c>
    </row>
    <row r="20" ht="20" customHeight="1">
      <c r="A20" s="23" t="inlineStr">
        <is>
          <t>GIAI ĐOẠN 2 — TRONG TUẦN LIVE (D0 → D+4), lặp mỗi ngày</t>
        </is>
      </c>
      <c r="B20" s="24" t="n"/>
      <c r="C20" s="24" t="n"/>
      <c r="D20" s="24" t="n"/>
      <c r="E20" s="24" t="n"/>
      <c r="F20" s="24" t="n"/>
      <c r="G20" s="24" t="n"/>
      <c r="H20" s="25" t="n"/>
    </row>
    <row r="21" ht="28" customHeight="1">
      <c r="A21" s="31" t="inlineStr">
        <is>
          <t>CP-15</t>
        </is>
      </c>
      <c r="B21" s="31" t="inlineStr">
        <is>
          <t>D+1</t>
        </is>
      </c>
      <c r="C21" s="31" t="inlineStr">
        <is>
          <t>12/08</t>
        </is>
      </c>
      <c r="D21" s="32" t="inlineStr">
        <is>
          <t>Mỗi sáng: 1 bài recap buổi tối trước, đăng trước 12h</t>
        </is>
      </c>
      <c r="E21" s="33" t="inlineStr">
        <is>
          <t>Ba điều rút ra + một câu mở vòng lặp sang buổi tối nay. Kèm 1 screenshot kết quả học viên nếu có.</t>
        </is>
      </c>
      <c r="F21" s="31" t="inlineStr">
        <is>
          <t>Quan trọng</t>
        </is>
      </c>
      <c r="G21" s="34" t="inlineStr">
        <is>
          <t>CP</t>
        </is>
      </c>
      <c r="H21" s="31" t="inlineStr">
        <is>
          <t>Chưa bắt đầu</t>
        </is>
      </c>
    </row>
    <row r="22" ht="28" customHeight="1">
      <c r="A22" s="31" t="inlineStr">
        <is>
          <t>CP-16</t>
        </is>
      </c>
      <c r="B22" s="31" t="inlineStr">
        <is>
          <t>D+1</t>
        </is>
      </c>
      <c r="C22" s="31" t="inlineStr">
        <is>
          <t>12/08</t>
        </is>
      </c>
      <c r="D22" s="32" t="inlineStr">
        <is>
          <t>Mỗi chiều: 1 bài mở vòng lặp cho buổi tối, đăng trước 18h</t>
        </is>
      </c>
      <c r="E22" s="33" t="inlineStr">
        <is>
          <t>Nói rõ tối nay demo gì. Brief nhấn mạnh demo là khoảnh khắc quyết định — nội dung trước buổi phải bán đúng khoảnh khắc đó.</t>
        </is>
      </c>
      <c r="F22" s="31" t="inlineStr">
        <is>
          <t>Quan trọng</t>
        </is>
      </c>
      <c r="G22" s="34" t="inlineStr">
        <is>
          <t>CP</t>
        </is>
      </c>
      <c r="H22" s="31" t="inlineStr">
        <is>
          <t>Chưa bắt đầu</t>
        </is>
      </c>
    </row>
    <row r="23" ht="28" customHeight="1">
      <c r="A23" s="31" t="inlineStr">
        <is>
          <t>CP-17</t>
        </is>
      </c>
      <c r="B23" s="31" t="inlineStr">
        <is>
          <t>D+1</t>
        </is>
      </c>
      <c r="C23" s="31" t="inlineStr">
        <is>
          <t>12/08</t>
        </is>
      </c>
      <c r="D23" s="32" t="inlineStr">
        <is>
          <t>Viết caption cho clip highlight EDIT giao mỗi sáng</t>
        </is>
      </c>
      <c r="E23" s="33" t="inlineStr">
        <is>
          <t>Clip không caption thì không ai dừng lại. Giao lại trong 2 giờ sau khi nhận clip.</t>
        </is>
      </c>
      <c r="F23" s="31" t="inlineStr">
        <is>
          <t>Quan trọng</t>
        </is>
      </c>
      <c r="G23" s="34" t="inlineStr">
        <is>
          <t>CP</t>
        </is>
      </c>
      <c r="H23" s="31" t="inlineStr">
        <is>
          <t>Chưa bắt đầu</t>
        </is>
      </c>
    </row>
    <row r="24" ht="28" customHeight="1">
      <c r="A24" s="31" t="inlineStr">
        <is>
          <t>CP-18</t>
        </is>
      </c>
      <c r="B24" s="31" t="inlineStr">
        <is>
          <t>D+2</t>
        </is>
      </c>
      <c r="C24" s="31" t="inlineStr">
        <is>
          <t>13/08</t>
        </is>
      </c>
      <c r="D24" s="32" t="inlineStr">
        <is>
          <t>Bài chứng minh có số liệu và screenshot học viên</t>
        </is>
      </c>
      <c r="E24" s="33" t="inlineStr">
        <is>
          <t>Brief ghi bằng chứng từ người cùng lớp mạnh hơn case ngoài. Xin phép trước khi đăng ảnh chụp màn hình.</t>
        </is>
      </c>
      <c r="F24" s="31" t="inlineStr">
        <is>
          <t>Quan trọng</t>
        </is>
      </c>
      <c r="G24" s="34" t="inlineStr">
        <is>
          <t>CP</t>
        </is>
      </c>
      <c r="H24" s="31" t="inlineStr">
        <is>
          <t>Chưa bắt đầu</t>
        </is>
      </c>
    </row>
    <row r="25" ht="20" customHeight="1">
      <c r="A25" s="23" t="inlineStr">
        <is>
          <t>GIAI ĐOẠN 3 — SAU CHUỖI (D+5 → D+7)</t>
        </is>
      </c>
      <c r="B25" s="24" t="n"/>
      <c r="C25" s="24" t="n"/>
      <c r="D25" s="24" t="n"/>
      <c r="E25" s="24" t="n"/>
      <c r="F25" s="24" t="n"/>
      <c r="G25" s="24" t="n"/>
      <c r="H25" s="25" t="n"/>
    </row>
    <row r="26" ht="42" customHeight="1">
      <c r="A26" s="26" t="inlineStr">
        <is>
          <t>CP-19</t>
        </is>
      </c>
      <c r="B26" s="26" t="inlineStr">
        <is>
          <t>D+5</t>
        </is>
      </c>
      <c r="C26" s="26" t="inlineStr">
        <is>
          <t>16/08</t>
        </is>
      </c>
      <c r="D26" s="27" t="inlineStr">
        <is>
          <t>Chuỗi 3 bài và tin nhắn chốt trong 48 giờ gia hạn</t>
        </is>
      </c>
      <c r="E26" s="28" t="inlineStr">
        <is>
          <t>Nhịp: sáng D+5 nhắc cơ chế nâng cấp · tối D+5 nêu bằng chứng · trưa D+6 đếm ngược giờ cuối. Sau 48 giờ đóng vòng, không kéo dài — kéo dài một lần là mọi deadline sau mất giá trị.</t>
        </is>
      </c>
      <c r="F26" s="29" t="inlineStr">
        <is>
          <t>CHẶN</t>
        </is>
      </c>
      <c r="G26" s="30" t="inlineStr">
        <is>
          <t>CP</t>
        </is>
      </c>
      <c r="H26" s="26" t="inlineStr">
        <is>
          <t>Chưa bắt đầu</t>
        </is>
      </c>
    </row>
    <row r="27" ht="28" customHeight="1">
      <c r="A27" s="31" t="inlineStr">
        <is>
          <t>CP-20</t>
        </is>
      </c>
      <c r="B27" s="31" t="inlineStr">
        <is>
          <t>D+6</t>
        </is>
      </c>
      <c r="C27" s="31" t="inlineStr">
        <is>
          <t>17/08</t>
        </is>
      </c>
      <c r="D27" s="32" t="inlineStr">
        <is>
          <t>Bài tổng kết chuỗi và thu thập testimonial</t>
        </is>
      </c>
      <c r="E27" s="33" t="inlineStr">
        <is>
          <t>Thu ít nhất 10 testimonial có tên và có kết quả cụ thể. Đây là nguyên liệu chứng minh cho chuỗi sau.</t>
        </is>
      </c>
      <c r="F27" s="31" t="inlineStr">
        <is>
          <t>Quan trọng</t>
        </is>
      </c>
      <c r="G27" s="34" t="inlineStr">
        <is>
          <t>CP</t>
        </is>
      </c>
      <c r="H27" s="31" t="inlineStr">
        <is>
          <t>Chưa bắt đầu</t>
        </is>
      </c>
    </row>
    <row r="28" ht="42" customHeight="1">
      <c r="A28" s="31" t="inlineStr">
        <is>
          <t>CP-21</t>
        </is>
      </c>
      <c r="B28" s="31" t="inlineStr">
        <is>
          <t>D+7</t>
        </is>
      </c>
      <c r="C28" s="31" t="inlineStr">
        <is>
          <t>18/08</t>
        </is>
      </c>
      <c r="D28" s="32" t="inlineStr">
        <is>
          <t>Đóng gói nội dung tái sử dụng cho chuỗi kế tiếp</t>
        </is>
      </c>
      <c r="E28" s="33" t="inlineStr">
        <is>
          <t>Bài nào có tương tác cao nhất, hook nào giữ chân tốt nhất, câu hỏi nào lặp lại nhiều nhất. Ghi vào một file để chuỗi sau không viết lại từ đầu.</t>
        </is>
      </c>
      <c r="F28" s="31" t="inlineStr">
        <is>
          <t>Nên có</t>
        </is>
      </c>
      <c r="G28" s="34" t="inlineStr">
        <is>
          <t>CP</t>
        </is>
      </c>
      <c r="H28" s="31" t="inlineStr">
        <is>
          <t>Chưa bắt đầu</t>
        </is>
      </c>
    </row>
    <row r="29"/>
    <row r="30">
      <c r="D30" s="35" t="inlineStr">
        <is>
          <t>TIẾN ĐỘ</t>
        </is>
      </c>
      <c r="E30" s="36">
        <f>COUNTIF(H5:H28,"Xong")&amp;" / "&amp;COUNTA(H5:H28)&amp;" đầu việc đã xong"</f>
        <v/>
      </c>
    </row>
  </sheetData>
  <mergeCells count="5">
    <mergeCell ref="A1:H1"/>
    <mergeCell ref="A25:H25"/>
    <mergeCell ref="A20:H20"/>
    <mergeCell ref="A2:H2"/>
    <mergeCell ref="A5:H5"/>
  </mergeCells>
  <dataValidations count="1">
    <dataValidation sqref="H6 H7 H8 H9 H10 H11 H12 H13 H14 H15 H16 H17 H18 H19 H21 H22 H23 H24 H26 H27 H28" showDropDown="0" showInputMessage="0" showErrorMessage="0" allowBlank="1" type="list">
      <formula1>"Chưa bắt đầu,Đang làm,Xong,Đang tắc"</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1"/>
  <sheetViews>
    <sheetView showGridLines="0" workbookViewId="0">
      <pane ySplit="4" topLeftCell="A5" activePane="bottomLeft" state="frozen"/>
      <selection pane="bottomLeft" activeCell="A1" sqref="A1"/>
    </sheetView>
  </sheetViews>
  <sheetFormatPr baseColWidth="8" defaultRowHeight="15"/>
  <cols>
    <col width="8" customWidth="1" min="1" max="1"/>
    <col width="8" customWidth="1" min="2" max="2"/>
    <col width="11" customWidth="1" min="3" max="3"/>
    <col width="44" customWidth="1" min="4" max="4"/>
    <col width="66" customWidth="1" min="5" max="5"/>
    <col width="12" customWidth="1" min="6" max="6"/>
    <col width="18" customWidth="1" min="7" max="7"/>
    <col width="15" customWidth="1" min="8" max="8"/>
  </cols>
  <sheetData>
    <row r="1" ht="22" customHeight="1">
      <c r="A1" s="10" t="inlineStr">
        <is>
          <t>ADS PERFORMANCE</t>
        </is>
      </c>
    </row>
    <row r="2">
      <c r="A2" s="11" t="inlineStr">
        <is>
          <t>Ngân sách 30–100 triệu · Facebook là kênh chính · test YouTube và TikTok · mục tiêu 1.000–3.000 đăng ký</t>
        </is>
      </c>
    </row>
    <row r="3"/>
    <row r="4" ht="28" customHeight="1">
      <c r="A4" s="12" t="inlineStr">
        <is>
          <t>Mã</t>
        </is>
      </c>
      <c r="B4" s="12" t="inlineStr">
        <is>
          <t>Mốc</t>
        </is>
      </c>
      <c r="C4" s="12" t="inlineStr">
        <is>
          <t>Hạn chót</t>
        </is>
      </c>
      <c r="D4" s="12" t="inlineStr">
        <is>
          <t>ĐẦU VIỆC</t>
        </is>
      </c>
      <c r="E4" s="12" t="inlineStr">
        <is>
          <t>TIÊU CHUẨN HOÀN THÀNH / GHI CHÚ</t>
        </is>
      </c>
      <c r="F4" s="12" t="inlineStr">
        <is>
          <t>Mức</t>
        </is>
      </c>
      <c r="G4" s="12" t="inlineStr">
        <is>
          <t>Người phụ trách</t>
        </is>
      </c>
      <c r="H4" s="12" t="inlineStr">
        <is>
          <t>Trạng thái</t>
        </is>
      </c>
    </row>
    <row r="5" ht="20" customHeight="1">
      <c r="A5" s="23" t="inlineStr">
        <is>
          <t>GIAI ĐOẠN 1 — DỰNG NỀN ĐO LƯỜNG (D-14 → D-11). Không có bước này thì không được mở ads</t>
        </is>
      </c>
      <c r="B5" s="24" t="n"/>
      <c r="C5" s="24" t="n"/>
      <c r="D5" s="24" t="n"/>
      <c r="E5" s="24" t="n"/>
      <c r="F5" s="24" t="n"/>
      <c r="G5" s="24" t="n"/>
      <c r="H5" s="25" t="n"/>
    </row>
    <row r="6" ht="28" customHeight="1">
      <c r="A6" s="26" t="inlineStr">
        <is>
          <t>ADS-01</t>
        </is>
      </c>
      <c r="B6" s="26" t="inlineStr">
        <is>
          <t>D-14</t>
        </is>
      </c>
      <c r="C6" s="26" t="inlineStr">
        <is>
          <t>28/07</t>
        </is>
      </c>
      <c r="D6" s="27" t="inlineStr">
        <is>
          <t>Rà soát tracking hiện có và liệt kê phần còn thiếu</t>
        </is>
      </c>
      <c r="E6" s="28" t="inlineStr">
        <is>
          <t>Tài liệu audit kênh của Demo ghi hiện trạng là 'không đo gì cả'. Không xác minh lại thì 30–100 triệu chạy mù.</t>
        </is>
      </c>
      <c r="F6" s="29" t="inlineStr">
        <is>
          <t>CHẶN</t>
        </is>
      </c>
      <c r="G6" s="30" t="inlineStr">
        <is>
          <t>ADS</t>
        </is>
      </c>
      <c r="H6" s="26" t="inlineStr">
        <is>
          <t>Chưa bắt đầu</t>
        </is>
      </c>
    </row>
    <row r="7" ht="42" customHeight="1">
      <c r="A7" s="26" t="inlineStr">
        <is>
          <t>ADS-02</t>
        </is>
      </c>
      <c r="B7" s="26" t="inlineStr">
        <is>
          <t>D-13</t>
        </is>
      </c>
      <c r="C7" s="26" t="inlineStr">
        <is>
          <t>29/07</t>
        </is>
      </c>
      <c r="D7" s="27" t="inlineStr">
        <is>
          <t>Cài đủ bộ đo: UTM chuẩn · Meta Pixel · GA4 · conversion API server-side · tag CRM và tag Zalo</t>
        </is>
      </c>
      <c r="E7" s="28" t="inlineStr">
        <is>
          <t>Quy ước UTM thống nhất trước khi chạy, không đặt tay từng chiến dịch. Conversion API bắt buộc vì trình duyệt chặn pixel ngày càng nhiều.</t>
        </is>
      </c>
      <c r="F7" s="29" t="inlineStr">
        <is>
          <t>CHẶN</t>
        </is>
      </c>
      <c r="G7" s="30" t="inlineStr">
        <is>
          <t>ADS</t>
        </is>
      </c>
      <c r="H7" s="26" t="inlineStr">
        <is>
          <t>Chưa bắt đầu</t>
        </is>
      </c>
    </row>
    <row r="8" ht="42" customHeight="1">
      <c r="A8" s="26" t="inlineStr">
        <is>
          <t>ADS-03</t>
        </is>
      </c>
      <c r="B8" s="26" t="inlineStr">
        <is>
          <t>D-12</t>
        </is>
      </c>
      <c r="C8" s="26" t="inlineStr">
        <is>
          <t>30/07</t>
        </is>
      </c>
      <c r="D8" s="27" t="inlineStr">
        <is>
          <t>Kiểm thử toàn luồng bằng một lượt đăng ký thật</t>
        </is>
      </c>
      <c r="E8" s="28" t="inlineStr">
        <is>
          <t>Click ad → landing → điền form → thanh toán → trang cảm ơn → vào Zalo group. Xác nhận từng sự kiện bắn về đủ và đúng. Test cả 3 hạng vé, đặc biệt luồng thanh toán 199K và 499K.</t>
        </is>
      </c>
      <c r="F8" s="29" t="inlineStr">
        <is>
          <t>CHẶN</t>
        </is>
      </c>
      <c r="G8" s="30" t="inlineStr">
        <is>
          <t>ADS</t>
        </is>
      </c>
      <c r="H8" s="26" t="inlineStr">
        <is>
          <t>Chưa bắt đầu</t>
        </is>
      </c>
    </row>
    <row r="9" ht="56" customHeight="1">
      <c r="A9" s="31" t="inlineStr">
        <is>
          <t>ADS-04</t>
        </is>
      </c>
      <c r="B9" s="31" t="inlineStr">
        <is>
          <t>D-11</t>
        </is>
      </c>
      <c r="C9" s="31" t="inlineStr">
        <is>
          <t>31/07</t>
        </is>
      </c>
      <c r="D9" s="32" t="inlineStr">
        <is>
          <t>Dựng cấu trúc chiến dịch</t>
        </is>
      </c>
      <c r="E9" s="33" t="inlineStr">
        <is>
          <t>1 campaign lead (mục tiêu đăng ký vé Free) + 1 campaign retarget. 3–4 nhóm quảng cáo theo tệp: chủ SME 10–100 nhân sự · chuyên gia và coach · creator và affiliate · trưởng phòng marketing/sales.</t>
        </is>
      </c>
      <c r="F9" s="31" t="inlineStr">
        <is>
          <t>Quan trọng</t>
        </is>
      </c>
      <c r="G9" s="34" t="inlineStr">
        <is>
          <t>ADS</t>
        </is>
      </c>
      <c r="H9" s="31" t="inlineStr">
        <is>
          <t>Chưa bắt đầu</t>
        </is>
      </c>
    </row>
    <row r="10" ht="42" customHeight="1">
      <c r="A10" s="31" t="inlineStr">
        <is>
          <t>ADS-05</t>
        </is>
      </c>
      <c r="B10" s="31" t="inlineStr">
        <is>
          <t>D-11</t>
        </is>
      </c>
      <c r="C10" s="31" t="inlineStr">
        <is>
          <t>31/07</t>
        </is>
      </c>
      <c r="D10" s="32" t="inlineStr">
        <is>
          <t>Dựng tệp đối tượng</t>
        </is>
      </c>
      <c r="E10" s="33" t="inlineStr">
        <is>
          <t>Lookalike từ dữ liệu khách cũ · quan tâm chủ đề founder/SME/AI · custom audience người xem video 50% · người vào landing chưa đăng ký · người trong danh sách cũ chưa mua.</t>
        </is>
      </c>
      <c r="F10" s="31" t="inlineStr">
        <is>
          <t>Quan trọng</t>
        </is>
      </c>
      <c r="G10" s="34" t="inlineStr">
        <is>
          <t>ADS</t>
        </is>
      </c>
      <c r="H10" s="31" t="inlineStr">
        <is>
          <t>Chưa bắt đầu</t>
        </is>
      </c>
    </row>
    <row r="11" ht="42" customHeight="1">
      <c r="A11" s="26" t="inlineStr">
        <is>
          <t>ADS-06</t>
        </is>
      </c>
      <c r="B11" s="26" t="inlineStr">
        <is>
          <t>D-11</t>
        </is>
      </c>
      <c r="C11" s="26" t="inlineStr">
        <is>
          <t>31/07</t>
        </is>
      </c>
      <c r="D11" s="27" t="inlineStr">
        <is>
          <t>Chốt bảng phân bổ ngân sách theo giai đoạn</t>
        </is>
      </c>
      <c r="E11" s="28" t="inlineStr">
        <is>
          <t>Gợi ý: 55% cho D-11→D-4 (gom đăng ký) · 30% cho D-3→D0 (nước rút) · 15% giữ lại cho retarget bán khóa trong tuần live. Ghi con số tuyệt đối vào bảng, không để 'linh hoạt'.</t>
        </is>
      </c>
      <c r="F11" s="29" t="inlineStr">
        <is>
          <t>CHẶN</t>
        </is>
      </c>
      <c r="G11" s="30" t="inlineStr">
        <is>
          <t>ADS</t>
        </is>
      </c>
      <c r="H11" s="26" t="inlineStr">
        <is>
          <t>Chưa bắt đầu</t>
        </is>
      </c>
    </row>
    <row r="12" ht="20" customHeight="1">
      <c r="A12" s="23" t="inlineStr">
        <is>
          <t>GIAI ĐOẠN 2 — CHẠY VÀ TỐI ƯU (D-11 → D-1)</t>
        </is>
      </c>
      <c r="B12" s="24" t="n"/>
      <c r="C12" s="24" t="n"/>
      <c r="D12" s="24" t="n"/>
      <c r="E12" s="24" t="n"/>
      <c r="F12" s="24" t="n"/>
      <c r="G12" s="24" t="n"/>
      <c r="H12" s="25" t="n"/>
    </row>
    <row r="13" ht="28" customHeight="1">
      <c r="A13" s="31" t="inlineStr">
        <is>
          <t>ADS-07</t>
        </is>
      </c>
      <c r="B13" s="31" t="inlineStr">
        <is>
          <t>D-11</t>
        </is>
      </c>
      <c r="C13" s="31" t="inlineStr">
        <is>
          <t>31/07</t>
        </is>
      </c>
      <c r="D13" s="32" t="inlineStr">
        <is>
          <t>Mở chiến dịch với 8–10 mẫu ad từ CP</t>
        </is>
      </c>
      <c r="E13" s="33" t="inlineStr">
        <is>
          <t>Mỗi nhóm quảng cáo chạy tối thiểu 3 mẫu để có cái so sánh. Không mở tất cả ngân sách ngày đầu.</t>
        </is>
      </c>
      <c r="F13" s="31" t="inlineStr">
        <is>
          <t>Quan trọng</t>
        </is>
      </c>
      <c r="G13" s="34" t="inlineStr">
        <is>
          <t>ADS</t>
        </is>
      </c>
      <c r="H13" s="31" t="inlineStr">
        <is>
          <t>Chưa bắt đầu</t>
        </is>
      </c>
    </row>
    <row r="14" ht="70" customHeight="1">
      <c r="A14" s="26" t="inlineStr">
        <is>
          <t>ADS-08</t>
        </is>
      </c>
      <c r="B14" s="26" t="inlineStr">
        <is>
          <t>D-10</t>
        </is>
      </c>
      <c r="C14" s="26" t="inlineStr">
        <is>
          <t>01/08</t>
        </is>
      </c>
      <c r="D14" s="27" t="inlineStr">
        <is>
          <t>Chốt ngưỡng CPL mục tiêu và quy tắc tăng/dừng bằng số</t>
        </is>
      </c>
      <c r="E14" s="28" t="inlineStr">
        <is>
          <t>Đề xuất: tăng ngân sách nhóm 20%/ngày nếu CPL dưới ngưỡng 2 ngày liên tiếp · dừng mẫu ad khi chi vượt 3 lần CPL mục tiêu mà chưa có lead · dừng nhóm khi CPL vượt 1,5 lần ngưỡng trong 48 giờ. Viết ra trước, để không phải quyết định theo cảm giác lúc đang chạy.</t>
        </is>
      </c>
      <c r="F14" s="29" t="inlineStr">
        <is>
          <t>CHẶN</t>
        </is>
      </c>
      <c r="G14" s="30" t="inlineStr">
        <is>
          <t>ADS</t>
        </is>
      </c>
      <c r="H14" s="26" t="inlineStr">
        <is>
          <t>Chưa bắt đầu</t>
        </is>
      </c>
    </row>
    <row r="15" ht="42" customHeight="1">
      <c r="A15" s="31" t="inlineStr">
        <is>
          <t>ADS-09</t>
        </is>
      </c>
      <c r="B15" s="31" t="inlineStr">
        <is>
          <t>D-10</t>
        </is>
      </c>
      <c r="C15" s="31" t="inlineStr">
        <is>
          <t>01/08</t>
        </is>
      </c>
      <c r="D15" s="32" t="inlineStr">
        <is>
          <t>Báo cáo hằng ngày 9h sáng</t>
        </is>
      </c>
      <c r="E15" s="33" t="inlineStr">
        <is>
          <t>Sáu số: chi · số lead · CPL · tỷ lệ điền form thành công · tỷ lệ vào Zalo group · số vé trả phí. Gửi vào group nội bộ, không chờ ai hỏi.</t>
        </is>
      </c>
      <c r="F15" s="31" t="inlineStr">
        <is>
          <t>Quan trọng</t>
        </is>
      </c>
      <c r="G15" s="34" t="inlineStr">
        <is>
          <t>ADS</t>
        </is>
      </c>
      <c r="H15" s="31" t="inlineStr">
        <is>
          <t>Chưa bắt đầu</t>
        </is>
      </c>
    </row>
    <row r="16" ht="42" customHeight="1">
      <c r="A16" s="31" t="inlineStr">
        <is>
          <t>ADS-10</t>
        </is>
      </c>
      <c r="B16" s="31" t="inlineStr">
        <is>
          <t>D-8</t>
        </is>
      </c>
      <c r="C16" s="31" t="inlineStr">
        <is>
          <t>03/08</t>
        </is>
      </c>
      <c r="D16" s="32" t="inlineStr">
        <is>
          <t>Test YouTube và TikTok với 10–15% ngân sách</t>
        </is>
      </c>
      <c r="E16" s="33" t="inlineStr">
        <is>
          <t>Chỉ mở rộng nếu CPL ≤ 1,3 lần CPL Facebook sau 3 ngày. Nếu không đạt, cắt và dồn về Facebook — 2 tuần không đủ thời gian nuôi kênh mới.</t>
        </is>
      </c>
      <c r="F16" s="31" t="inlineStr">
        <is>
          <t>Nên có</t>
        </is>
      </c>
      <c r="G16" s="34" t="inlineStr">
        <is>
          <t>ADS</t>
        </is>
      </c>
      <c r="H16" s="31" t="inlineStr">
        <is>
          <t>Chưa bắt đầu</t>
        </is>
      </c>
    </row>
    <row r="17" ht="42" customHeight="1">
      <c r="A17" s="26" t="inlineStr">
        <is>
          <t>ADS-11</t>
        </is>
      </c>
      <c r="B17" s="26" t="inlineStr">
        <is>
          <t>D-7</t>
        </is>
      </c>
      <c r="C17" s="26" t="inlineStr">
        <is>
          <t>04/08</t>
        </is>
      </c>
      <c r="D17" s="27" t="inlineStr">
        <is>
          <t>Báo cáo giữa kỳ và dự phóng cán đích</t>
        </is>
      </c>
      <c r="E17" s="28" t="inlineStr">
        <is>
          <t>So số đăng ký hiện tại với mục tiêu 1.000–3.000. Nếu dự phóng hụt trên 30%, báo ngay để họp điều chỉnh ngân sách hoặc thông điệp — báo ở D-2 thì đã muộn.</t>
        </is>
      </c>
      <c r="F17" s="29" t="inlineStr">
        <is>
          <t>CHẶN</t>
        </is>
      </c>
      <c r="G17" s="30" t="inlineStr">
        <is>
          <t>ADS</t>
        </is>
      </c>
      <c r="H17" s="26" t="inlineStr">
        <is>
          <t>Chưa bắt đầu</t>
        </is>
      </c>
    </row>
    <row r="18" ht="28" customHeight="1">
      <c r="A18" s="31" t="inlineStr">
        <is>
          <t>ADS-12</t>
        </is>
      </c>
      <c r="B18" s="31" t="inlineStr">
        <is>
          <t>D-5</t>
        </is>
      </c>
      <c r="C18" s="31" t="inlineStr">
        <is>
          <t>06/08</t>
        </is>
      </c>
      <c r="D18" s="32" t="inlineStr">
        <is>
          <t>Bật retarget mời nâng cấp vé cho người đã đăng ký vé Free</t>
        </is>
      </c>
      <c r="E18" s="33" t="inlineStr">
        <is>
          <t>Đây là doanh thu trước chuỗi và cũng là tín hiệu sớm về chất lượng tệp. Loại trừ người đã mua.</t>
        </is>
      </c>
      <c r="F18" s="31" t="inlineStr">
        <is>
          <t>Quan trọng</t>
        </is>
      </c>
      <c r="G18" s="34" t="inlineStr">
        <is>
          <t>ADS</t>
        </is>
      </c>
      <c r="H18" s="31" t="inlineStr">
        <is>
          <t>Chưa bắt đầu</t>
        </is>
      </c>
    </row>
    <row r="19" ht="28" customHeight="1">
      <c r="A19" s="31" t="inlineStr">
        <is>
          <t>ADS-13</t>
        </is>
      </c>
      <c r="B19" s="31" t="inlineStr">
        <is>
          <t>D-3</t>
        </is>
      </c>
      <c r="C19" s="31" t="inlineStr">
        <is>
          <t>08/08</t>
        </is>
      </c>
      <c r="D19" s="32" t="inlineStr">
        <is>
          <t>Dồn ngân sách vào nhóm quảng cáo có CPL tốt nhất</t>
        </is>
      </c>
      <c r="E19" s="33" t="inlineStr">
        <is>
          <t>Giai đoạn nước rút không phải lúc test cái mới. Khóa cấu hình từ D-2, chỉ theo dõi.</t>
        </is>
      </c>
      <c r="F19" s="31" t="inlineStr">
        <is>
          <t>Quan trọng</t>
        </is>
      </c>
      <c r="G19" s="34" t="inlineStr">
        <is>
          <t>ADS</t>
        </is>
      </c>
      <c r="H19" s="31" t="inlineStr">
        <is>
          <t>Chưa bắt đầu</t>
        </is>
      </c>
    </row>
    <row r="20" ht="28" customHeight="1">
      <c r="A20" s="31" t="inlineStr">
        <is>
          <t>ADS-14</t>
        </is>
      </c>
      <c r="B20" s="31" t="inlineStr">
        <is>
          <t>D-1</t>
        </is>
      </c>
      <c r="C20" s="31" t="inlineStr">
        <is>
          <t>10/08</t>
        </is>
      </c>
      <c r="D20" s="32" t="inlineStr">
        <is>
          <t>Đối chiếu tổng đăng ký với mục tiêu và báo cáo cho cả team</t>
        </is>
      </c>
      <c r="E20" s="33" t="inlineStr">
        <is>
          <t>Con số này quyết định kỳ vọng doanh thu của cả chuỗi. Báo trước để An và team support chuẩn bị đúng tâm thế.</t>
        </is>
      </c>
      <c r="F20" s="31" t="inlineStr">
        <is>
          <t>Quan trọng</t>
        </is>
      </c>
      <c r="G20" s="34" t="inlineStr">
        <is>
          <t>ADS</t>
        </is>
      </c>
      <c r="H20" s="31" t="inlineStr">
        <is>
          <t>Chưa bắt đầu</t>
        </is>
      </c>
    </row>
    <row r="21" ht="20" customHeight="1">
      <c r="A21" s="23" t="inlineStr">
        <is>
          <t>GIAI ĐOẠN 3 — TRONG TUẦN LIVE (D0 → D+4)</t>
        </is>
      </c>
      <c r="B21" s="24" t="n"/>
      <c r="C21" s="24" t="n"/>
      <c r="D21" s="24" t="n"/>
      <c r="E21" s="24" t="n"/>
      <c r="F21" s="24" t="n"/>
      <c r="G21" s="24" t="n"/>
      <c r="H21" s="25" t="n"/>
    </row>
    <row r="22" ht="28" customHeight="1">
      <c r="A22" s="31" t="inlineStr">
        <is>
          <t>ADS-15</t>
        </is>
      </c>
      <c r="B22" s="31" t="inlineStr">
        <is>
          <t>D0</t>
        </is>
      </c>
      <c r="C22" s="31" t="inlineStr">
        <is>
          <t>11/08</t>
        </is>
      </c>
      <c r="D22" s="32" t="inlineStr">
        <is>
          <t>Retarget người đã đăng ký nhưng chưa vào Zalo group</t>
        </is>
      </c>
      <c r="E22" s="33" t="inlineStr">
        <is>
          <t>Nhóm này đã trả chi phí lấy lead rồi mà chưa vào được kênh nhắc lịch. Cứu nhóm này rẻ hơn mua lead mới.</t>
        </is>
      </c>
      <c r="F22" s="31" t="inlineStr">
        <is>
          <t>Quan trọng</t>
        </is>
      </c>
      <c r="G22" s="34" t="inlineStr">
        <is>
          <t>ADS</t>
        </is>
      </c>
      <c r="H22" s="31" t="inlineStr">
        <is>
          <t>Chưa bắt đầu</t>
        </is>
      </c>
    </row>
    <row r="23" ht="42" customHeight="1">
      <c r="A23" s="31" t="inlineStr">
        <is>
          <t>ADS-16</t>
        </is>
      </c>
      <c r="B23" s="31" t="inlineStr">
        <is>
          <t>D+1</t>
        </is>
      </c>
      <c r="C23" s="31" t="inlineStr">
        <is>
          <t>12/08</t>
        </is>
      </c>
      <c r="D23" s="32" t="inlineStr">
        <is>
          <t>Bật quảng cáo bán khóa cho người đã dự buổi</t>
        </is>
      </c>
      <c r="E23" s="33" t="inlineStr">
        <is>
          <t>Tải danh sách người dự từ Zoom, tạo custom audience, chạy quảng cáo bán đúng gói mở trong buổi đó. Làm ngay trong ngày, không để nguội.</t>
        </is>
      </c>
      <c r="F23" s="31" t="inlineStr">
        <is>
          <t>Quan trọng</t>
        </is>
      </c>
      <c r="G23" s="34" t="inlineStr">
        <is>
          <t>ADS</t>
        </is>
      </c>
      <c r="H23" s="31" t="inlineStr">
        <is>
          <t>Chưa bắt đầu</t>
        </is>
      </c>
    </row>
    <row r="24" ht="28" customHeight="1">
      <c r="A24" s="31" t="inlineStr">
        <is>
          <t>ADS-17</t>
        </is>
      </c>
      <c r="B24" s="31" t="inlineStr">
        <is>
          <t>D+1</t>
        </is>
      </c>
      <c r="C24" s="31" t="inlineStr">
        <is>
          <t>12/08</t>
        </is>
      </c>
      <c r="D24" s="32" t="inlineStr">
        <is>
          <t>Quyết định giữ hay tạm dừng campaign lead — quyết bằng số</t>
        </is>
      </c>
      <c r="E24" s="33" t="inlineStr">
        <is>
          <t>Nếu CPL vẫn tốt và phòng còn tải được thì giữ để gom người vào buổi 3, 4, 5. Nếu không, dồn toàn bộ sang retarget bán khóa.</t>
        </is>
      </c>
      <c r="F24" s="31" t="inlineStr">
        <is>
          <t>Quan trọng</t>
        </is>
      </c>
      <c r="G24" s="34" t="inlineStr">
        <is>
          <t>ADS</t>
        </is>
      </c>
      <c r="H24" s="31" t="inlineStr">
        <is>
          <t>Chưa bắt đầu</t>
        </is>
      </c>
    </row>
    <row r="25" ht="28" customHeight="1">
      <c r="A25" s="31" t="inlineStr">
        <is>
          <t>ADS-18</t>
        </is>
      </c>
      <c r="B25" s="31" t="inlineStr">
        <is>
          <t>D+3</t>
        </is>
      </c>
      <c r="C25" s="31" t="inlineStr">
        <is>
          <t>14/08</t>
        </is>
      </c>
      <c r="D25" s="32" t="inlineStr">
        <is>
          <t>Dồn ngân sách còn lại vào tệp chủ doanh nghiệp trước buổi 5</t>
        </is>
      </c>
      <c r="E25" s="33" t="inlineStr">
        <is>
          <t>Buổi 5 bán gói 12–19 triệu, giá trị đơn cao nhất cả chuỗi. Nhắm đúng người ra quyết định được về ngân sách.</t>
        </is>
      </c>
      <c r="F25" s="31" t="inlineStr">
        <is>
          <t>Quan trọng</t>
        </is>
      </c>
      <c r="G25" s="34" t="inlineStr">
        <is>
          <t>ADS</t>
        </is>
      </c>
      <c r="H25" s="31" t="inlineStr">
        <is>
          <t>Chưa bắt đầu</t>
        </is>
      </c>
    </row>
    <row r="26" ht="20" customHeight="1">
      <c r="A26" s="23" t="inlineStr">
        <is>
          <t>GIAI ĐOẠN 4 — SAU CHUỖI (D+5 → D+7)</t>
        </is>
      </c>
      <c r="B26" s="24" t="n"/>
      <c r="C26" s="24" t="n"/>
      <c r="D26" s="24" t="n"/>
      <c r="E26" s="24" t="n"/>
      <c r="F26" s="24" t="n"/>
      <c r="G26" s="24" t="n"/>
      <c r="H26" s="25" t="n"/>
    </row>
    <row r="27" ht="28" customHeight="1">
      <c r="A27" s="31" t="inlineStr">
        <is>
          <t>ADS-19</t>
        </is>
      </c>
      <c r="B27" s="31" t="inlineStr">
        <is>
          <t>D+5</t>
        </is>
      </c>
      <c r="C27" s="31" t="inlineStr">
        <is>
          <t>16/08</t>
        </is>
      </c>
      <c r="D27" s="32" t="inlineStr">
        <is>
          <t>Chạy retarget cho 48 giờ gia hạn</t>
        </is>
      </c>
      <c r="E27" s="33" t="inlineStr">
        <is>
          <t>Nhắm toàn bộ người đã dự ít nhất 1 buổi và chưa mua. Dừng đúng giờ khi hết 48 giờ.</t>
        </is>
      </c>
      <c r="F27" s="31" t="inlineStr">
        <is>
          <t>Quan trọng</t>
        </is>
      </c>
      <c r="G27" s="34" t="inlineStr">
        <is>
          <t>ADS</t>
        </is>
      </c>
      <c r="H27" s="31" t="inlineStr">
        <is>
          <t>Chưa bắt đầu</t>
        </is>
      </c>
    </row>
    <row r="28" ht="42" customHeight="1">
      <c r="A28" s="31" t="inlineStr">
        <is>
          <t>ADS-20</t>
        </is>
      </c>
      <c r="B28" s="31" t="inlineStr">
        <is>
          <t>D+6</t>
        </is>
      </c>
      <c r="C28" s="31" t="inlineStr">
        <is>
          <t>17/08</t>
        </is>
      </c>
      <c r="D28" s="32" t="inlineStr">
        <is>
          <t>Báo cáo tổng kết chiến dịch</t>
        </is>
      </c>
      <c r="E28" s="33" t="inlineStr">
        <is>
          <t>Tổng chi · số đăng ký · CPL · show rate từng buổi · doanh thu từng gói · CAC theo từng gói · so sánh với trần CAC cho phép. Kèm 3 nhận định và 3 việc làm khác đi ở chuỗi sau.</t>
        </is>
      </c>
      <c r="F28" s="31" t="inlineStr">
        <is>
          <t>Quan trọng</t>
        </is>
      </c>
      <c r="G28" s="34" t="inlineStr">
        <is>
          <t>ADS</t>
        </is>
      </c>
      <c r="H28" s="31" t="inlineStr">
        <is>
          <t>Chưa bắt đầu</t>
        </is>
      </c>
    </row>
    <row r="29" ht="28" customHeight="1">
      <c r="A29" s="31" t="inlineStr">
        <is>
          <t>ADS-21</t>
        </is>
      </c>
      <c r="B29" s="31" t="inlineStr">
        <is>
          <t>D+7</t>
        </is>
      </c>
      <c r="C29" s="31" t="inlineStr">
        <is>
          <t>18/08</t>
        </is>
      </c>
      <c r="D29" s="32" t="inlineStr">
        <is>
          <t>Lưu tệp đối tượng và dữ liệu học máy cho lần chạy sau</t>
        </is>
      </c>
      <c r="E29" s="33" t="inlineStr">
        <is>
          <t>Tệp người xem video, người dự buổi, người mua — đây là tài sản đắt nhất chiến dịch này để lại.</t>
        </is>
      </c>
      <c r="F29" s="31" t="inlineStr">
        <is>
          <t>Nên có</t>
        </is>
      </c>
      <c r="G29" s="34" t="inlineStr">
        <is>
          <t>ADS</t>
        </is>
      </c>
      <c r="H29" s="31" t="inlineStr">
        <is>
          <t>Chưa bắt đầu</t>
        </is>
      </c>
    </row>
    <row r="30"/>
    <row r="31">
      <c r="D31" s="35" t="inlineStr">
        <is>
          <t>TIẾN ĐỘ</t>
        </is>
      </c>
      <c r="E31" s="36">
        <f>COUNTIF(H5:H29,"Xong")&amp;" / "&amp;COUNTA(H5:H29)&amp;" đầu việc đã xong"</f>
        <v/>
      </c>
    </row>
  </sheetData>
  <mergeCells count="6">
    <mergeCell ref="A12:H12"/>
    <mergeCell ref="A1:H1"/>
    <mergeCell ref="A26:H26"/>
    <mergeCell ref="A21:H21"/>
    <mergeCell ref="A2:H2"/>
    <mergeCell ref="A5:H5"/>
  </mergeCells>
  <dataValidations count="1">
    <dataValidation sqref="H6 H7 H8 H9 H10 H11 H13 H14 H15 H16 H17 H18 H19 H20 H22 H23 H24 H25 H27 H28 H29" showDropDown="0" showInputMessage="0" showErrorMessage="0" allowBlank="1" type="list">
      <formula1>"Chưa bắt đầu,Đang làm,Xong,Đang tắc"</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6"/>
  <sheetViews>
    <sheetView showGridLines="0" workbookViewId="0">
      <pane ySplit="4" topLeftCell="A5" activePane="bottomLeft" state="frozen"/>
      <selection pane="bottomLeft" activeCell="A1" sqref="A1"/>
    </sheetView>
  </sheetViews>
  <sheetFormatPr baseColWidth="8" defaultRowHeight="15"/>
  <cols>
    <col width="8" customWidth="1" min="1" max="1"/>
    <col width="8" customWidth="1" min="2" max="2"/>
    <col width="11" customWidth="1" min="3" max="3"/>
    <col width="44" customWidth="1" min="4" max="4"/>
    <col width="66" customWidth="1" min="5" max="5"/>
    <col width="12" customWidth="1" min="6" max="6"/>
    <col width="18" customWidth="1" min="7" max="7"/>
    <col width="15" customWidth="1" min="8" max="8"/>
  </cols>
  <sheetData>
    <row r="1" ht="22" customHeight="1">
      <c r="A1" s="10" t="inlineStr">
        <is>
          <t>VIDEO EDITOR</t>
        </is>
      </c>
    </row>
    <row r="2">
      <c r="A2" s="11" t="inlineStr">
        <is>
          <t>Tài sản trước chuỗi → ca cắt highlight hằng ngày trong tuần live → đóng gói record</t>
        </is>
      </c>
    </row>
    <row r="3"/>
    <row r="4" ht="28" customHeight="1">
      <c r="A4" s="12" t="inlineStr">
        <is>
          <t>Mã</t>
        </is>
      </c>
      <c r="B4" s="12" t="inlineStr">
        <is>
          <t>Mốc</t>
        </is>
      </c>
      <c r="C4" s="12" t="inlineStr">
        <is>
          <t>Hạn chót</t>
        </is>
      </c>
      <c r="D4" s="12" t="inlineStr">
        <is>
          <t>ĐẦU VIỆC</t>
        </is>
      </c>
      <c r="E4" s="12" t="inlineStr">
        <is>
          <t>TIÊU CHUẨN HOÀN THÀNH / GHI CHÚ</t>
        </is>
      </c>
      <c r="F4" s="12" t="inlineStr">
        <is>
          <t>Mức</t>
        </is>
      </c>
      <c r="G4" s="12" t="inlineStr">
        <is>
          <t>Người phụ trách</t>
        </is>
      </c>
      <c r="H4" s="12" t="inlineStr">
        <is>
          <t>Trạng thái</t>
        </is>
      </c>
    </row>
    <row r="5" ht="20" customHeight="1">
      <c r="A5" s="23" t="inlineStr">
        <is>
          <t>GIAI ĐOẠN 1 — TÀI SẢN TRƯỚC CHUỖI (D-14 → D-2)</t>
        </is>
      </c>
      <c r="B5" s="24" t="n"/>
      <c r="C5" s="24" t="n"/>
      <c r="D5" s="24" t="n"/>
      <c r="E5" s="24" t="n"/>
      <c r="F5" s="24" t="n"/>
      <c r="G5" s="24" t="n"/>
      <c r="H5" s="25" t="n"/>
    </row>
    <row r="6" ht="28" customHeight="1">
      <c r="A6" s="31" t="inlineStr">
        <is>
          <t>ED-01</t>
        </is>
      </c>
      <c r="B6" s="31" t="inlineStr">
        <is>
          <t>D-14</t>
        </is>
      </c>
      <c r="C6" s="31" t="inlineStr">
        <is>
          <t>28/07</t>
        </is>
      </c>
      <c r="D6" s="32" t="inlineStr">
        <is>
          <t>Nhận brief hình ảnh và dựng moodboard thống nhất</t>
        </is>
      </c>
      <c r="E6" s="33" t="inlineStr">
        <is>
          <t>Một bộ nhận diện dùng chung cho ads, landing, slide, Zalo. Năm người làm ra một thương hiệu, không phải năm phong cách.</t>
        </is>
      </c>
      <c r="F6" s="31" t="inlineStr">
        <is>
          <t>Quan trọng</t>
        </is>
      </c>
      <c r="G6" s="34" t="inlineStr">
        <is>
          <t>EDIT</t>
        </is>
      </c>
      <c r="H6" s="31" t="inlineStr">
        <is>
          <t>Chưa bắt đầu</t>
        </is>
      </c>
    </row>
    <row r="7" ht="28" customHeight="1">
      <c r="A7" s="31" t="inlineStr">
        <is>
          <t>ED-02</t>
        </is>
      </c>
      <c r="B7" s="31" t="inlineStr">
        <is>
          <t>D-13</t>
        </is>
      </c>
      <c r="C7" s="31" t="inlineStr">
        <is>
          <t>29/07</t>
        </is>
      </c>
      <c r="D7" s="32" t="inlineStr">
        <is>
          <t>Quay và dựng video mời tham dự của An (60–90 giây)</t>
        </is>
      </c>
      <c r="E7" s="33" t="inlineStr">
        <is>
          <t>Xuất 2 tỷ lệ: dọc 9:16 cho Reels/TikTok và ngang 16:9 cho landing. Có phụ đề cháy sẵn — phần lớn người xem tắt tiếng.</t>
        </is>
      </c>
      <c r="F7" s="31" t="inlineStr">
        <is>
          <t>Quan trọng</t>
        </is>
      </c>
      <c r="G7" s="34" t="inlineStr">
        <is>
          <t>EDIT</t>
        </is>
      </c>
      <c r="H7" s="31" t="inlineStr">
        <is>
          <t>Chưa bắt đầu</t>
        </is>
      </c>
    </row>
    <row r="8" ht="28" customHeight="1">
      <c r="A8" s="26" t="inlineStr">
        <is>
          <t>ED-03</t>
        </is>
      </c>
      <c r="B8" s="26" t="inlineStr">
        <is>
          <t>D-12</t>
        </is>
      </c>
      <c r="C8" s="26" t="inlineStr">
        <is>
          <t>30/07</t>
        </is>
      </c>
      <c r="D8" s="27" t="inlineStr">
        <is>
          <t>Dựng 3–5 biến thể video ad, chỉ đổi hook 3 giây đầu</t>
        </is>
      </c>
      <c r="E8" s="28" t="inlineStr">
        <is>
          <t>Giữ nguyên phần thân, chỉ thay đoạn mở. Đây là cách test rẻ nhất cho ADS.</t>
        </is>
      </c>
      <c r="F8" s="29" t="inlineStr">
        <is>
          <t>CHẶN</t>
        </is>
      </c>
      <c r="G8" s="30" t="inlineStr">
        <is>
          <t>EDIT</t>
        </is>
      </c>
      <c r="H8" s="26" t="inlineStr">
        <is>
          <t>Chưa bắt đầu</t>
        </is>
      </c>
    </row>
    <row r="9" ht="42" customHeight="1">
      <c r="A9" s="31" t="inlineStr">
        <is>
          <t>ED-04</t>
        </is>
      </c>
      <c r="B9" s="31" t="inlineStr">
        <is>
          <t>D-11</t>
        </is>
      </c>
      <c r="C9" s="31" t="inlineStr">
        <is>
          <t>31/07</t>
        </is>
      </c>
      <c r="D9" s="32" t="inlineStr">
        <is>
          <t>Xuất bộ hình chiến dịch</t>
        </is>
      </c>
      <c r="E9" s="33" t="inlineStr">
        <is>
          <t>Cover landing · ảnh so sánh 3 hạng vé · ảnh timeline 5 buổi · ảnh 4 cấp độ Agentic Business OS · bộ ảnh đếm ngược D-7 đến D-1.</t>
        </is>
      </c>
      <c r="F9" s="31" t="inlineStr">
        <is>
          <t>Quan trọng</t>
        </is>
      </c>
      <c r="G9" s="34" t="inlineStr">
        <is>
          <t>EDIT</t>
        </is>
      </c>
      <c r="H9" s="31" t="inlineStr">
        <is>
          <t>Chưa bắt đầu</t>
        </is>
      </c>
    </row>
    <row r="10" ht="28" customHeight="1">
      <c r="A10" s="31" t="inlineStr">
        <is>
          <t>ED-05</t>
        </is>
      </c>
      <c r="B10" s="31" t="inlineStr">
        <is>
          <t>D-10</t>
        </is>
      </c>
      <c r="C10" s="31" t="inlineStr">
        <is>
          <t>01/08</t>
        </is>
      </c>
      <c r="D10" s="32" t="inlineStr">
        <is>
          <t>Dựng 6–8 video ngắn từ kịch bản của CP</t>
        </is>
      </c>
      <c r="E10" s="33" t="inlineStr">
        <is>
          <t>15–45 giây, phụ đề cháy sẵn, tỷ lệ dọc. Xuất đủ trước khi bước vào tuần nước rút.</t>
        </is>
      </c>
      <c r="F10" s="31" t="inlineStr">
        <is>
          <t>Quan trọng</t>
        </is>
      </c>
      <c r="G10" s="34" t="inlineStr">
        <is>
          <t>EDIT</t>
        </is>
      </c>
      <c r="H10" s="31" t="inlineStr">
        <is>
          <t>Chưa bắt đầu</t>
        </is>
      </c>
    </row>
    <row r="11" ht="28" customHeight="1">
      <c r="A11" s="31" t="inlineStr">
        <is>
          <t>ED-06</t>
        </is>
      </c>
      <c r="B11" s="31" t="inlineStr">
        <is>
          <t>D-9</t>
        </is>
      </c>
      <c r="C11" s="31" t="inlineStr">
        <is>
          <t>02/08</t>
        </is>
      </c>
      <c r="D11" s="32" t="inlineStr">
        <is>
          <t>Quay video story founder dùng lại được cho bản evergreen</t>
        </is>
      </c>
      <c r="E11" s="33" t="inlineStr">
        <is>
          <t>Brief ghi rõ: quay một lần, dùng cho mọi chuỗi sau, để An không phải kể lại mỗi lần.</t>
        </is>
      </c>
      <c r="F11" s="31" t="inlineStr">
        <is>
          <t>Nên có</t>
        </is>
      </c>
      <c r="G11" s="34" t="inlineStr">
        <is>
          <t>EDIT</t>
        </is>
      </c>
      <c r="H11" s="31" t="inlineStr">
        <is>
          <t>Chưa bắt đầu</t>
        </is>
      </c>
    </row>
    <row r="12" ht="28" customHeight="1">
      <c r="A12" s="31" t="inlineStr">
        <is>
          <t>ED-07</t>
        </is>
      </c>
      <c r="B12" s="31" t="inlineStr">
        <is>
          <t>D-8</t>
        </is>
      </c>
      <c r="C12" s="31" t="inlineStr">
        <is>
          <t>03/08</t>
        </is>
      </c>
      <c r="D12" s="32" t="inlineStr">
        <is>
          <t>Slide template + intro và outro bumper cho Zoom</t>
        </is>
      </c>
      <c r="E12" s="33" t="inlineStr">
        <is>
          <t>Bumper 5–8 giây chạy lúc chờ vào phòng. Template slide bàn giao An để không phải tự canh bố cục.</t>
        </is>
      </c>
      <c r="F12" s="31" t="inlineStr">
        <is>
          <t>Quan trọng</t>
        </is>
      </c>
      <c r="G12" s="34" t="inlineStr">
        <is>
          <t>EDIT</t>
        </is>
      </c>
      <c r="H12" s="31" t="inlineStr">
        <is>
          <t>Chưa bắt đầu</t>
        </is>
      </c>
    </row>
    <row r="13" ht="28" customHeight="1">
      <c r="A13" s="31" t="inlineStr">
        <is>
          <t>ED-08</t>
        </is>
      </c>
      <c r="B13" s="31" t="inlineStr">
        <is>
          <t>D-7</t>
        </is>
      </c>
      <c r="C13" s="31" t="inlineStr">
        <is>
          <t>04/08</t>
        </is>
      </c>
      <c r="D13" s="32" t="inlineStr">
        <is>
          <t>Video hướng dẫn vào lớp (60 giây)</t>
        </is>
      </c>
      <c r="E13" s="33" t="inlineStr">
        <is>
          <t>Link Zoom lấy ở đâu · cách đổi tên hiển thị · cách đặt câu hỏi · giờ mở phòng. Giảm tải rất nhiều cho người trực support.</t>
        </is>
      </c>
      <c r="F13" s="31" t="inlineStr">
        <is>
          <t>Quan trọng</t>
        </is>
      </c>
      <c r="G13" s="34" t="inlineStr">
        <is>
          <t>EDIT</t>
        </is>
      </c>
      <c r="H13" s="31" t="inlineStr">
        <is>
          <t>Chưa bắt đầu</t>
        </is>
      </c>
    </row>
    <row r="14" ht="28" customHeight="1">
      <c r="A14" s="31" t="inlineStr">
        <is>
          <t>ED-09</t>
        </is>
      </c>
      <c r="B14" s="31" t="inlineStr">
        <is>
          <t>D-6</t>
        </is>
      </c>
      <c r="C14" s="31" t="inlineStr">
        <is>
          <t>05/08</t>
        </is>
      </c>
      <c r="D14" s="32" t="inlineStr">
        <is>
          <t>Ảnh và video nhắc lịch dùng cho ZNS và Zalo group</t>
        </is>
      </c>
      <c r="E14" s="33" t="inlineStr">
        <is>
          <t>Bộ 5 ảnh nhắc lịch cho 5 buổi, ghi rõ chủ đề buổi đó. Giao KT/SP hẹn giờ sẵn.</t>
        </is>
      </c>
      <c r="F14" s="31" t="inlineStr">
        <is>
          <t>Quan trọng</t>
        </is>
      </c>
      <c r="G14" s="34" t="inlineStr">
        <is>
          <t>EDIT</t>
        </is>
      </c>
      <c r="H14" s="31" t="inlineStr">
        <is>
          <t>Chưa bắt đầu</t>
        </is>
      </c>
    </row>
    <row r="15" ht="42" customHeight="1">
      <c r="A15" s="31" t="inlineStr">
        <is>
          <t>ED-10</t>
        </is>
      </c>
      <c r="B15" s="31" t="inlineStr">
        <is>
          <t>D-5</t>
        </is>
      </c>
      <c r="C15" s="31" t="inlineStr">
        <is>
          <t>06/08</t>
        </is>
      </c>
      <c r="D15" s="32" t="inlineStr">
        <is>
          <t>Cắt teaser từ bản chạy thử của các demo</t>
        </is>
      </c>
      <c r="E15" s="33" t="inlineStr">
        <is>
          <t>Demo agent 8 phút · mini app · dây chuyền Genful · Co-Founder Agent. Đây là bằng chứng mạnh nhất để kéo đăng ký giai đoạn nước rút.</t>
        </is>
      </c>
      <c r="F15" s="31" t="inlineStr">
        <is>
          <t>Quan trọng</t>
        </is>
      </c>
      <c r="G15" s="34" t="inlineStr">
        <is>
          <t>EDIT</t>
        </is>
      </c>
      <c r="H15" s="31" t="inlineStr">
        <is>
          <t>Chưa bắt đầu</t>
        </is>
      </c>
    </row>
    <row r="16" ht="20" customHeight="1">
      <c r="A16" s="23" t="inlineStr">
        <is>
          <t>GIAI ĐOẠN 2 — CA HẰNG NGÀY TRONG TUẦN LIVE (D0 → D+4)</t>
        </is>
      </c>
      <c r="B16" s="24" t="n"/>
      <c r="C16" s="24" t="n"/>
      <c r="D16" s="24" t="n"/>
      <c r="E16" s="24" t="n"/>
      <c r="F16" s="24" t="n"/>
      <c r="G16" s="24" t="n"/>
      <c r="H16" s="25" t="n"/>
    </row>
    <row r="17" ht="28" customHeight="1">
      <c r="A17" s="31" t="inlineStr">
        <is>
          <t>ED-11</t>
        </is>
      </c>
      <c r="B17" s="31" t="inlineStr">
        <is>
          <t>D+1</t>
        </is>
      </c>
      <c r="C17" s="31" t="inlineStr">
        <is>
          <t>12/08</t>
        </is>
      </c>
      <c r="D17" s="32" t="inlineStr">
        <is>
          <t>Cắt 2–3 clip highlight từ record buổi tối trước, giao trước 11h sáng</t>
        </is>
      </c>
      <c r="E17" s="33" t="inlineStr">
        <is>
          <t>Ưu tiên: khoảnh khắc demo · câu nói phá niềm tin · phản ứng của học viên trong chat. Giao trễ là mất nhịp nội dung cả ngày.</t>
        </is>
      </c>
      <c r="F17" s="31" t="inlineStr">
        <is>
          <t>Quan trọng</t>
        </is>
      </c>
      <c r="G17" s="34" t="inlineStr">
        <is>
          <t>EDIT</t>
        </is>
      </c>
      <c r="H17" s="31" t="inlineStr">
        <is>
          <t>Chưa bắt đầu</t>
        </is>
      </c>
    </row>
    <row r="18" ht="42" customHeight="1">
      <c r="A18" s="26" t="inlineStr">
        <is>
          <t>ED-12</t>
        </is>
      </c>
      <c r="B18" s="26" t="inlineStr">
        <is>
          <t>D+1</t>
        </is>
      </c>
      <c r="C18" s="26" t="inlineStr">
        <is>
          <t>12/08</t>
        </is>
      </c>
      <c r="D18" s="27" t="inlineStr">
        <is>
          <t>Xuất full record giao vé 199K và 499K trong 12 giờ sau buổi</t>
        </is>
      </c>
      <c r="E18" s="28" t="inlineStr">
        <is>
          <t>Đây là quyền lợi đã bán trên landing. Giao chậm là thất hứa với người đã trả tiền, và sẽ thành khiếu nại ngay trong tuần live.</t>
        </is>
      </c>
      <c r="F18" s="29" t="inlineStr">
        <is>
          <t>CHẶN</t>
        </is>
      </c>
      <c r="G18" s="30" t="inlineStr">
        <is>
          <t>EDIT</t>
        </is>
      </c>
      <c r="H18" s="26" t="inlineStr">
        <is>
          <t>Chưa bắt đầu</t>
        </is>
      </c>
    </row>
    <row r="19" ht="28" customHeight="1">
      <c r="A19" s="31" t="inlineStr">
        <is>
          <t>ED-13</t>
        </is>
      </c>
      <c r="B19" s="31" t="inlineStr">
        <is>
          <t>D+2</t>
        </is>
      </c>
      <c r="C19" s="31" t="inlineStr">
        <is>
          <t>13/08</t>
        </is>
      </c>
      <c r="D19" s="32" t="inlineStr">
        <is>
          <t>Cắt riêng phần demo thành clip bằng chứng độc lập</t>
        </is>
      </c>
      <c r="E19" s="33" t="inlineStr">
        <is>
          <t>Clip demo dùng lại được cho quảng cáo bán khóa, cho chuỗi sau, và cho trợ giảng gửi khi khách phân vân.</t>
        </is>
      </c>
      <c r="F19" s="31" t="inlineStr">
        <is>
          <t>Quan trọng</t>
        </is>
      </c>
      <c r="G19" s="34" t="inlineStr">
        <is>
          <t>EDIT</t>
        </is>
      </c>
      <c r="H19" s="31" t="inlineStr">
        <is>
          <t>Chưa bắt đầu</t>
        </is>
      </c>
    </row>
    <row r="20" ht="28" customHeight="1">
      <c r="A20" s="31" t="inlineStr">
        <is>
          <t>ED-14</t>
        </is>
      </c>
      <c r="B20" s="31" t="inlineStr">
        <is>
          <t>D+3</t>
        </is>
      </c>
      <c r="C20" s="31" t="inlineStr">
        <is>
          <t>14/08</t>
        </is>
      </c>
      <c r="D20" s="32" t="inlineStr">
        <is>
          <t>Cắt clip testimonial học viên phát biểu trong buổi</t>
        </is>
      </c>
      <c r="E20" s="33" t="inlineStr">
        <is>
          <t>Xin phép trước khi dùng. Ưu tiên người nói được kết quả cụ thể, không phải lời khen chung chung.</t>
        </is>
      </c>
      <c r="F20" s="31" t="inlineStr">
        <is>
          <t>Nên có</t>
        </is>
      </c>
      <c r="G20" s="34" t="inlineStr">
        <is>
          <t>EDIT</t>
        </is>
      </c>
      <c r="H20" s="31" t="inlineStr">
        <is>
          <t>Chưa bắt đầu</t>
        </is>
      </c>
    </row>
    <row r="21" ht="20" customHeight="1">
      <c r="A21" s="23" t="inlineStr">
        <is>
          <t>GIAI ĐOẠN 3 — SAU CHUỖI (D+5 → D+7)</t>
        </is>
      </c>
      <c r="B21" s="24" t="n"/>
      <c r="C21" s="24" t="n"/>
      <c r="D21" s="24" t="n"/>
      <c r="E21" s="24" t="n"/>
      <c r="F21" s="24" t="n"/>
      <c r="G21" s="24" t="n"/>
      <c r="H21" s="25" t="n"/>
    </row>
    <row r="22" ht="28" customHeight="1">
      <c r="A22" s="26" t="inlineStr">
        <is>
          <t>ED-15</t>
        </is>
      </c>
      <c r="B22" s="26" t="inlineStr">
        <is>
          <t>D+5</t>
        </is>
      </c>
      <c r="C22" s="26" t="inlineStr">
        <is>
          <t>16/08</t>
        </is>
      </c>
      <c r="D22" s="27" t="inlineStr">
        <is>
          <t>Đóng gói full record 5 buổi có chương mục</t>
        </is>
      </c>
      <c r="E22" s="28" t="inlineStr">
        <is>
          <t>Chia chương theo mốc trong buổi để người mua vé tua đúng phần cần xem. Đây là phần lớn giá trị của vé 199K và 499K.</t>
        </is>
      </c>
      <c r="F22" s="29" t="inlineStr">
        <is>
          <t>CHẶN</t>
        </is>
      </c>
      <c r="G22" s="30" t="inlineStr">
        <is>
          <t>EDIT</t>
        </is>
      </c>
      <c r="H22" s="26" t="inlineStr">
        <is>
          <t>Chưa bắt đầu</t>
        </is>
      </c>
    </row>
    <row r="23" ht="28" customHeight="1">
      <c r="A23" s="31" t="inlineStr">
        <is>
          <t>ED-16</t>
        </is>
      </c>
      <c r="B23" s="31" t="inlineStr">
        <is>
          <t>D+6</t>
        </is>
      </c>
      <c r="C23" s="31" t="inlineStr">
        <is>
          <t>17/08</t>
        </is>
      </c>
      <c r="D23" s="32" t="inlineStr">
        <is>
          <t>Dựng video sales dùng cho 48 giờ gia hạn và chuỗi sau</t>
        </is>
      </c>
      <c r="E23" s="33" t="inlineStr">
        <is>
          <t>Ghép highlight demo + testimonial + lời chốt. Một video này chạy được nhiều tháng.</t>
        </is>
      </c>
      <c r="F23" s="31" t="inlineStr">
        <is>
          <t>Quan trọng</t>
        </is>
      </c>
      <c r="G23" s="34" t="inlineStr">
        <is>
          <t>EDIT</t>
        </is>
      </c>
      <c r="H23" s="31" t="inlineStr">
        <is>
          <t>Chưa bắt đầu</t>
        </is>
      </c>
    </row>
    <row r="24" ht="28" customHeight="1">
      <c r="A24" s="31" t="inlineStr">
        <is>
          <t>ED-17</t>
        </is>
      </c>
      <c r="B24" s="31" t="inlineStr">
        <is>
          <t>D+7</t>
        </is>
      </c>
      <c r="C24" s="31" t="inlineStr">
        <is>
          <t>18/08</t>
        </is>
      </c>
      <c r="D24" s="32" t="inlineStr">
        <is>
          <t>Lưu trữ toàn bộ tài sản vào thư mục chuẩn</t>
        </is>
      </c>
      <c r="E24" s="33" t="inlineStr">
        <is>
          <t>Đặt tên file theo quy ước, ghi rõ buổi nào, dùng cho mục đích gì. Chuỗi sau tái sử dụng được ngay.</t>
        </is>
      </c>
      <c r="F24" s="31" t="inlineStr">
        <is>
          <t>Nên có</t>
        </is>
      </c>
      <c r="G24" s="34" t="inlineStr">
        <is>
          <t>EDIT</t>
        </is>
      </c>
      <c r="H24" s="31" t="inlineStr">
        <is>
          <t>Chưa bắt đầu</t>
        </is>
      </c>
    </row>
    <row r="25"/>
    <row r="26">
      <c r="D26" s="35" t="inlineStr">
        <is>
          <t>TIẾN ĐỘ</t>
        </is>
      </c>
      <c r="E26" s="36">
        <f>COUNTIF(H5:H24,"Xong")&amp;" / "&amp;COUNTA(H5:H24)&amp;" đầu việc đã xong"</f>
        <v/>
      </c>
    </row>
  </sheetData>
  <mergeCells count="5">
    <mergeCell ref="A1:H1"/>
    <mergeCell ref="A21:H21"/>
    <mergeCell ref="A16:H16"/>
    <mergeCell ref="A2:H2"/>
    <mergeCell ref="A5:H5"/>
  </mergeCells>
  <dataValidations count="1">
    <dataValidation sqref="H6 H7 H8 H9 H10 H11 H12 H13 H14 H15 H17 H18 H19 H20 H22 H23 H24" showDropDown="0" showInputMessage="0" showErrorMessage="0" allowBlank="1" type="list">
      <formula1>"Chưa bắt đầu,Đang làm,Xong,Đang tắc"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7"/>
  <sheetViews>
    <sheetView showGridLines="0" workbookViewId="0">
      <pane ySplit="4" topLeftCell="A5" activePane="bottomLeft" state="frozen"/>
      <selection pane="bottomLeft" activeCell="A1" sqref="A1"/>
    </sheetView>
  </sheetViews>
  <sheetFormatPr baseColWidth="8" defaultRowHeight="15"/>
  <cols>
    <col width="8" customWidth="1" min="1" max="1"/>
    <col width="8" customWidth="1" min="2" max="2"/>
    <col width="11" customWidth="1" min="3" max="3"/>
    <col width="44" customWidth="1" min="4" max="4"/>
    <col width="66" customWidth="1" min="5" max="5"/>
    <col width="12" customWidth="1" min="6" max="6"/>
    <col width="18" customWidth="1" min="7" max="7"/>
    <col width="15" customWidth="1" min="8" max="8"/>
  </cols>
  <sheetData>
    <row r="1" ht="22" customHeight="1">
      <c r="A1" s="10" t="inlineStr">
        <is>
          <t>SUPPORT &amp; TRUYỀN THÔNG</t>
        </is>
      </c>
    </row>
    <row r="2">
      <c r="A2" s="11" t="inlineStr">
        <is>
          <t>Chăm sóc học viên trước – trong – sau · giữ show rate · chốt đơn song song qua Zalo</t>
        </is>
      </c>
    </row>
    <row r="3"/>
    <row r="4" ht="28" customHeight="1">
      <c r="A4" s="12" t="inlineStr">
        <is>
          <t>Mã</t>
        </is>
      </c>
      <c r="B4" s="12" t="inlineStr">
        <is>
          <t>Mốc</t>
        </is>
      </c>
      <c r="C4" s="12" t="inlineStr">
        <is>
          <t>Hạn chót</t>
        </is>
      </c>
      <c r="D4" s="12" t="inlineStr">
        <is>
          <t>ĐẦU VIỆC</t>
        </is>
      </c>
      <c r="E4" s="12" t="inlineStr">
        <is>
          <t>TIÊU CHUẨN HOÀN THÀNH / GHI CHÚ</t>
        </is>
      </c>
      <c r="F4" s="12" t="inlineStr">
        <is>
          <t>Mức</t>
        </is>
      </c>
      <c r="G4" s="12" t="inlineStr">
        <is>
          <t>Người phụ trách</t>
        </is>
      </c>
      <c r="H4" s="12" t="inlineStr">
        <is>
          <t>Trạng thái</t>
        </is>
      </c>
    </row>
    <row r="5" ht="20" customHeight="1">
      <c r="A5" s="23" t="inlineStr">
        <is>
          <t>GIAI ĐOẠN 1 — DỰNG KÊNH CHĂM SÓC (D-14 → D-4)</t>
        </is>
      </c>
      <c r="B5" s="24" t="n"/>
      <c r="C5" s="24" t="n"/>
      <c r="D5" s="24" t="n"/>
      <c r="E5" s="24" t="n"/>
      <c r="F5" s="24" t="n"/>
      <c r="G5" s="24" t="n"/>
      <c r="H5" s="25" t="n"/>
    </row>
    <row r="6" ht="28" customHeight="1">
      <c r="A6" s="26" t="inlineStr">
        <is>
          <t>SP-01</t>
        </is>
      </c>
      <c r="B6" s="26" t="inlineStr">
        <is>
          <t>D-9</t>
        </is>
      </c>
      <c r="C6" s="26" t="inlineStr">
        <is>
          <t>02/08</t>
        </is>
      </c>
      <c r="D6" s="27" t="inlineStr">
        <is>
          <t>Dựng Zalo group, quy tắc nhóm và tin ghim</t>
        </is>
      </c>
      <c r="E6" s="28" t="inlineStr">
        <is>
          <t>Tin ghim gồm: lịch 5 buổi · link Zoom · 3 bước cần làm · nơi đặt câu hỏi. Nhóm phải sẵn sàng trước khi ads đẩy người vào.</t>
        </is>
      </c>
      <c r="F6" s="29" t="inlineStr">
        <is>
          <t>CHẶN</t>
        </is>
      </c>
      <c r="G6" s="30" t="inlineStr">
        <is>
          <t>KT/SP</t>
        </is>
      </c>
      <c r="H6" s="26" t="inlineStr">
        <is>
          <t>Chưa bắt đầu</t>
        </is>
      </c>
    </row>
    <row r="7" ht="56" customHeight="1">
      <c r="A7" s="31" t="inlineStr">
        <is>
          <t>SP-02</t>
        </is>
      </c>
      <c r="B7" s="31" t="inlineStr">
        <is>
          <t>D-8</t>
        </is>
      </c>
      <c r="C7" s="31" t="inlineStr">
        <is>
          <t>03/08</t>
        </is>
      </c>
      <c r="D7" s="32" t="inlineStr">
        <is>
          <t>Viết kịch bản trả lời 15 câu hỏi thường gặp</t>
        </is>
      </c>
      <c r="E7" s="33" t="inlineStr">
        <is>
          <t>Vé khác nhau chỗ nào · có record không · học ở đâu · có xuất hóa đơn VAT không · lỡ một buổi thì sao · không rành công nghệ có theo được không · đã mua vé rồi nâng cấp thế nào. Mỗi câu một đoạn dán được ngay.</t>
        </is>
      </c>
      <c r="F7" s="31" t="inlineStr">
        <is>
          <t>Quan trọng</t>
        </is>
      </c>
      <c r="G7" s="34" t="inlineStr">
        <is>
          <t>KT/SP</t>
        </is>
      </c>
      <c r="H7" s="31" t="inlineStr">
        <is>
          <t>Chưa bắt đầu</t>
        </is>
      </c>
    </row>
    <row r="8" ht="42" customHeight="1">
      <c r="A8" s="26" t="inlineStr">
        <is>
          <t>SP-03</t>
        </is>
      </c>
      <c r="B8" s="26" t="inlineStr">
        <is>
          <t>D-7</t>
        </is>
      </c>
      <c r="C8" s="26" t="inlineStr">
        <is>
          <t>04/08</t>
        </is>
      </c>
      <c r="D8" s="27" t="inlineStr">
        <is>
          <t>Cài chuỗi nhắc lịch ZNS và SMS cho cả 5 buổi</t>
        </is>
      </c>
      <c r="E8" s="28" t="inlineStr">
        <is>
          <t>T−24 giờ · T−1 giờ · T−10 phút, tổng 15 lượt gửi. Brief ghi rõ: show rate sụp thì mọi thứ phía sau nhân với 0. Hẹn giờ sẵn, không gửi tay.</t>
        </is>
      </c>
      <c r="F8" s="29" t="inlineStr">
        <is>
          <t>CHẶN</t>
        </is>
      </c>
      <c r="G8" s="30" t="inlineStr">
        <is>
          <t>KT/SP</t>
        </is>
      </c>
      <c r="H8" s="26" t="inlineStr">
        <is>
          <t>Chưa bắt đầu</t>
        </is>
      </c>
    </row>
    <row r="9" ht="56" customHeight="1">
      <c r="A9" s="26" t="inlineStr">
        <is>
          <t>SP-04</t>
        </is>
      </c>
      <c r="B9" s="26" t="inlineStr">
        <is>
          <t>D-6</t>
        </is>
      </c>
      <c r="C9" s="26" t="inlineStr">
        <is>
          <t>05/08</t>
        </is>
      </c>
      <c r="D9" s="27" t="inlineStr">
        <is>
          <t>Chốt và huấn luyện thêm 2–3 trợ giảng trực Zalo</t>
        </is>
      </c>
      <c r="E9" s="28" t="inlineStr">
        <is>
          <t>Brief yêu cầu 3–4 người trực mỗi buổi. Hiện chỉ có 1 người và người đó còn kiêm kỹ thuật. An đang giảng thì không ai chốt — đây là chỗ mất đơn lớn nhất. Có thể huy động người từ bộ phận khác, miễn là có tên cụ thể và được tập trước.</t>
        </is>
      </c>
      <c r="F9" s="29" t="inlineStr">
        <is>
          <t>CHẶN</t>
        </is>
      </c>
      <c r="G9" s="30" t="inlineStr">
        <is>
          <t>KT/SP</t>
        </is>
      </c>
      <c r="H9" s="26" t="inlineStr">
        <is>
          <t>Chưa bắt đầu</t>
        </is>
      </c>
    </row>
    <row r="10" ht="28" customHeight="1">
      <c r="A10" s="26" t="inlineStr">
        <is>
          <t>SP-05</t>
        </is>
      </c>
      <c r="B10" s="26" t="inlineStr">
        <is>
          <t>D-5</t>
        </is>
      </c>
      <c r="C10" s="26" t="inlineStr">
        <is>
          <t>06/08</t>
        </is>
      </c>
      <c r="D10" s="27" t="inlineStr">
        <is>
          <t>Tự đăng ký thử bằng số điện thoại lạ và kiểm thử toàn luồng</t>
        </is>
      </c>
      <c r="E10" s="28" t="inlineStr">
        <is>
          <t>Đăng ký → nhận tin tự động → vào group → nhận link Zoom. Đi đúng đường của khách chứ không kiểm tra từng phần rời rạc.</t>
        </is>
      </c>
      <c r="F10" s="29" t="inlineStr">
        <is>
          <t>CHẶN</t>
        </is>
      </c>
      <c r="G10" s="30" t="inlineStr">
        <is>
          <t>KT/SP</t>
        </is>
      </c>
      <c r="H10" s="26" t="inlineStr">
        <is>
          <t>Chưa bắt đầu</t>
        </is>
      </c>
    </row>
    <row r="11" ht="42" customHeight="1">
      <c r="A11" s="26" t="inlineStr">
        <is>
          <t>SP-06</t>
        </is>
      </c>
      <c r="B11" s="26" t="inlineStr">
        <is>
          <t>D-4</t>
        </is>
      </c>
      <c r="C11" s="26" t="inlineStr">
        <is>
          <t>07/08</t>
        </is>
      </c>
      <c r="D11" s="27" t="inlineStr">
        <is>
          <t>Chuẩn bị bộ tin nhắn chốt đơn mẫu kèm link thanh toán từng gói</t>
        </is>
      </c>
      <c r="E11" s="28" t="inlineStr">
        <is>
          <t>Sáu link riêng: Cấp 1 · Cấp 2 · Cấp 3 · Gói 2 khóa · Gói 3 khóa · Co-Founder · Trọn bộ. Kèm link nâng cấp trả phần chênh. Lúc đang chốt không có thời gian đi tìm link.</t>
        </is>
      </c>
      <c r="F11" s="29" t="inlineStr">
        <is>
          <t>CHẶN</t>
        </is>
      </c>
      <c r="G11" s="30" t="inlineStr">
        <is>
          <t>KT/SP</t>
        </is>
      </c>
      <c r="H11" s="26" t="inlineStr">
        <is>
          <t>Chưa bắt đầu</t>
        </is>
      </c>
    </row>
    <row r="12" ht="28" customHeight="1">
      <c r="A12" s="26" t="inlineStr">
        <is>
          <t>SP-07</t>
        </is>
      </c>
      <c r="B12" s="26" t="inlineStr">
        <is>
          <t>D-3</t>
        </is>
      </c>
      <c r="C12" s="26" t="inlineStr">
        <is>
          <t>08/08</t>
        </is>
      </c>
      <c r="D12" s="27" t="inlineStr">
        <is>
          <t>Đồng bộ danh sách: form landing ↔ Zalo group ↔ danh sách Zoom</t>
        </is>
      </c>
      <c r="E12" s="28" t="inlineStr">
        <is>
          <t>Ba nơi phải khớp. Người trả tiền mà không nhận được link là sự cố nghiêm trọng nhất có thể xảy ra trong tuần live.</t>
        </is>
      </c>
      <c r="F12" s="29" t="inlineStr">
        <is>
          <t>CHẶN</t>
        </is>
      </c>
      <c r="G12" s="30" t="inlineStr">
        <is>
          <t>KT/SP</t>
        </is>
      </c>
      <c r="H12" s="26" t="inlineStr">
        <is>
          <t>Chưa bắt đầu</t>
        </is>
      </c>
    </row>
    <row r="13" ht="20" customHeight="1">
      <c r="A13" s="23" t="inlineStr">
        <is>
          <t>GIAI ĐOẠN 2 — VẬN HÀNH MỖI BUỔI (D0 → D+4)</t>
        </is>
      </c>
      <c r="B13" s="24" t="n"/>
      <c r="C13" s="24" t="n"/>
      <c r="D13" s="24" t="n"/>
      <c r="E13" s="24" t="n"/>
      <c r="F13" s="24" t="n"/>
      <c r="G13" s="24" t="n"/>
      <c r="H13" s="25" t="n"/>
    </row>
    <row r="14" ht="28" customHeight="1">
      <c r="A14" s="31" t="inlineStr">
        <is>
          <t>SP-08</t>
        </is>
      </c>
      <c r="B14" s="31" t="inlineStr">
        <is>
          <t>D0</t>
        </is>
      </c>
      <c r="C14" s="31" t="inlineStr">
        <is>
          <t>11/08</t>
        </is>
      </c>
      <c r="D14" s="32" t="inlineStr">
        <is>
          <t>19:30 — mở phòng, đăng tin trong group, gửi link Zoom lần cuối</t>
        </is>
      </c>
      <c r="E14" s="33" t="inlineStr">
        <is>
          <t>Bumper chạy nền lúc chờ. Chào từng người vào phòng trong 15 phút đầu.</t>
        </is>
      </c>
      <c r="F14" s="31" t="inlineStr">
        <is>
          <t>Quan trọng</t>
        </is>
      </c>
      <c r="G14" s="34" t="inlineStr">
        <is>
          <t>KT/SP</t>
        </is>
      </c>
      <c r="H14" s="31" t="inlineStr">
        <is>
          <t>Chưa bắt đầu</t>
        </is>
      </c>
    </row>
    <row r="15" ht="28" customHeight="1">
      <c r="A15" s="31" t="inlineStr">
        <is>
          <t>SP-09</t>
        </is>
      </c>
      <c r="B15" s="31" t="inlineStr">
        <is>
          <t>D0</t>
        </is>
      </c>
      <c r="C15" s="31" t="inlineStr">
        <is>
          <t>11/08</t>
        </is>
      </c>
      <c r="D15" s="32" t="inlineStr">
        <is>
          <t>Chuẩn bị sẵn 3–5 tên học viên đã ra kết quả để đọc ở phần mở màn</t>
        </is>
      </c>
      <c r="E15" s="33" t="inlineStr">
        <is>
          <t>Brief ghi bằng chứng từ người cùng lớp mạnh hơn case ngoài. Buổi 1 dùng người từ chương trình cũ.</t>
        </is>
      </c>
      <c r="F15" s="31" t="inlineStr">
        <is>
          <t>Quan trọng</t>
        </is>
      </c>
      <c r="G15" s="34" t="inlineStr">
        <is>
          <t>KT/SP</t>
        </is>
      </c>
      <c r="H15" s="31" t="inlineStr">
        <is>
          <t>Chưa bắt đầu</t>
        </is>
      </c>
    </row>
    <row r="16" ht="42" customHeight="1">
      <c r="A16" s="31" t="inlineStr">
        <is>
          <t>SP-10</t>
        </is>
      </c>
      <c r="B16" s="31" t="inlineStr">
        <is>
          <t>D0</t>
        </is>
      </c>
      <c r="C16" s="31" t="inlineStr">
        <is>
          <t>11/08</t>
        </is>
      </c>
      <c r="D16" s="32" t="inlineStr">
        <is>
          <t>Trong buổi — trực chat, đẩy câu hỏi hay lên cho An, thả câu hỏi mồi khi chat nguội</t>
        </is>
      </c>
      <c r="E16" s="33" t="inlineStr">
        <is>
          <t>Không để phần Q&amp;A rơi vào im lặng. Câu mồi lấy từ bộ của CP.</t>
        </is>
      </c>
      <c r="F16" s="31" t="inlineStr">
        <is>
          <t>Quan trọng</t>
        </is>
      </c>
      <c r="G16" s="34" t="inlineStr">
        <is>
          <t>KT/SP</t>
        </is>
      </c>
      <c r="H16" s="31" t="inlineStr">
        <is>
          <t>Chưa bắt đầu</t>
        </is>
      </c>
    </row>
    <row r="17" ht="28" customHeight="1">
      <c r="A17" s="26" t="inlineStr">
        <is>
          <t>SP-11</t>
        </is>
      </c>
      <c r="B17" s="26" t="inlineStr">
        <is>
          <t>D+1</t>
        </is>
      </c>
      <c r="C17" s="26" t="inlineStr">
        <is>
          <t>12/08</t>
        </is>
      </c>
      <c r="D17" s="27" t="inlineStr">
        <is>
          <t>Từ 21:45 — thả link thanh toán và chốt song song qua Zalo</t>
        </is>
      </c>
      <c r="E17" s="28" t="inlineStr">
        <is>
          <t>Brief ghi ~75% đơn xảy ra ở Q&amp;A. Trong lúc An trả lời trên sóng, trợ giảng nhắn riêng từng người đang phân vân.</t>
        </is>
      </c>
      <c r="F17" s="29" t="inlineStr">
        <is>
          <t>CHẶN</t>
        </is>
      </c>
      <c r="G17" s="30" t="inlineStr">
        <is>
          <t>KT/SP</t>
        </is>
      </c>
      <c r="H17" s="26" t="inlineStr">
        <is>
          <t>Chưa bắt đầu</t>
        </is>
      </c>
    </row>
    <row r="18" ht="28" customHeight="1">
      <c r="A18" s="31" t="inlineStr">
        <is>
          <t>SP-12</t>
        </is>
      </c>
      <c r="B18" s="31" t="inlineStr">
        <is>
          <t>D+1</t>
        </is>
      </c>
      <c r="C18" s="31" t="inlineStr">
        <is>
          <t>12/08</t>
        </is>
      </c>
      <c r="D18" s="32" t="inlineStr">
        <is>
          <t>Ghi nhận người quan tâm chưa chốt vào danh sách gọi lại</t>
        </is>
      </c>
      <c r="E18" s="33" t="inlineStr">
        <is>
          <t>Ghi rõ họ vướng ở đâu: giá, thời gian, cần bàn với ai. Danh sách này quyết định doanh thu 48 giờ sau.</t>
        </is>
      </c>
      <c r="F18" s="31" t="inlineStr">
        <is>
          <t>Quan trọng</t>
        </is>
      </c>
      <c r="G18" s="34" t="inlineStr">
        <is>
          <t>KT/SP</t>
        </is>
      </c>
      <c r="H18" s="31" t="inlineStr">
        <is>
          <t>Chưa bắt đầu</t>
        </is>
      </c>
    </row>
    <row r="19" ht="28" customHeight="1">
      <c r="A19" s="31" t="inlineStr">
        <is>
          <t>SP-13</t>
        </is>
      </c>
      <c r="B19" s="31" t="inlineStr">
        <is>
          <t>D+1</t>
        </is>
      </c>
      <c r="C19" s="31" t="inlineStr">
        <is>
          <t>12/08</t>
        </is>
      </c>
      <c r="D19" s="32" t="inlineStr">
        <is>
          <t>Sau buổi — gửi tổng kết, link record cho vé trả phí, bài tập về nhà</t>
        </is>
      </c>
      <c r="E19" s="33" t="inlineStr">
        <is>
          <t>Gửi trong đêm hoặc chậm nhất 9h sáng hôm sau. Bài tập giữ người quay lại buổi kế.</t>
        </is>
      </c>
      <c r="F19" s="31" t="inlineStr">
        <is>
          <t>Quan trọng</t>
        </is>
      </c>
      <c r="G19" s="34" t="inlineStr">
        <is>
          <t>KT/SP</t>
        </is>
      </c>
      <c r="H19" s="31" t="inlineStr">
        <is>
          <t>Chưa bắt đầu</t>
        </is>
      </c>
    </row>
    <row r="20" ht="28" customHeight="1">
      <c r="A20" s="31" t="inlineStr">
        <is>
          <t>SP-14</t>
        </is>
      </c>
      <c r="B20" s="31" t="inlineStr">
        <is>
          <t>D+2</t>
        </is>
      </c>
      <c r="C20" s="31" t="inlineStr">
        <is>
          <t>13/08</t>
        </is>
      </c>
      <c r="D20" s="32" t="inlineStr">
        <is>
          <t>Gọi lại danh sách quan tâm trong 24 giờ</t>
        </is>
      </c>
      <c r="E20" s="33" t="inlineStr">
        <is>
          <t>Sau 72 giờ lead webinar gần như mất giá trị. Gọi, không chỉ nhắn tin.</t>
        </is>
      </c>
      <c r="F20" s="31" t="inlineStr">
        <is>
          <t>Quan trọng</t>
        </is>
      </c>
      <c r="G20" s="34" t="inlineStr">
        <is>
          <t>KT/SP</t>
        </is>
      </c>
      <c r="H20" s="31" t="inlineStr">
        <is>
          <t>Chưa bắt đầu</t>
        </is>
      </c>
    </row>
    <row r="21" ht="20" customHeight="1">
      <c r="A21" s="23" t="inlineStr">
        <is>
          <t>GIAI ĐOẠN 3 — SAU CHUỖI (D+5 → D+7)</t>
        </is>
      </c>
      <c r="B21" s="24" t="n"/>
      <c r="C21" s="24" t="n"/>
      <c r="D21" s="24" t="n"/>
      <c r="E21" s="24" t="n"/>
      <c r="F21" s="24" t="n"/>
      <c r="G21" s="24" t="n"/>
      <c r="H21" s="25" t="n"/>
    </row>
    <row r="22" ht="28" customHeight="1">
      <c r="A22" s="26" t="inlineStr">
        <is>
          <t>SP-15</t>
        </is>
      </c>
      <c r="B22" s="26" t="inlineStr">
        <is>
          <t>D+5</t>
        </is>
      </c>
      <c r="C22" s="26" t="inlineStr">
        <is>
          <t>16/08</t>
        </is>
      </c>
      <c r="D22" s="27" t="inlineStr">
        <is>
          <t>Xử lý form kim cương trong 24 giờ — một người có tên chịu trách nhiệm</t>
        </is>
      </c>
      <c r="E22" s="28" t="inlineStr">
        <is>
          <t>Đây là tệp có khả năng chuyển sang Solution và Elite, giá trị đơn cao nhất. Không được để trôi vì bận chốt đơn nhỏ.</t>
        </is>
      </c>
      <c r="F22" s="29" t="inlineStr">
        <is>
          <t>CHẶN</t>
        </is>
      </c>
      <c r="G22" s="30" t="inlineStr">
        <is>
          <t>KT/SP</t>
        </is>
      </c>
      <c r="H22" s="26" t="inlineStr">
        <is>
          <t>Chưa bắt đầu</t>
        </is>
      </c>
    </row>
    <row r="23" ht="28" customHeight="1">
      <c r="A23" s="31" t="inlineStr">
        <is>
          <t>SP-16</t>
        </is>
      </c>
      <c r="B23" s="31" t="inlineStr">
        <is>
          <t>D+6</t>
        </is>
      </c>
      <c r="C23" s="31" t="inlineStr">
        <is>
          <t>17/08</t>
        </is>
      </c>
      <c r="D23" s="32" t="inlineStr">
        <is>
          <t>Gọi lại toàn bộ danh sách quan tâm chưa chốt trước khi đóng vòng 48 giờ</t>
        </is>
      </c>
      <c r="E23" s="33" t="inlineStr">
        <is>
          <t>Chia danh sách theo mức độ nóng, gọi nhóm nóng trước. Ghi lại lý do từ chối để cải thiện chuỗi sau.</t>
        </is>
      </c>
      <c r="F23" s="31" t="inlineStr">
        <is>
          <t>Quan trọng</t>
        </is>
      </c>
      <c r="G23" s="34" t="inlineStr">
        <is>
          <t>KT/SP</t>
        </is>
      </c>
      <c r="H23" s="31" t="inlineStr">
        <is>
          <t>Chưa bắt đầu</t>
        </is>
      </c>
    </row>
    <row r="24" ht="28" customHeight="1">
      <c r="A24" s="31" t="inlineStr">
        <is>
          <t>SP-17</t>
        </is>
      </c>
      <c r="B24" s="31" t="inlineStr">
        <is>
          <t>D+6</t>
        </is>
      </c>
      <c r="C24" s="31" t="inlineStr">
        <is>
          <t>17/08</t>
        </is>
      </c>
      <c r="D24" s="32" t="inlineStr">
        <is>
          <t>Thu testimonial từ học viên đã mua</t>
        </is>
      </c>
      <c r="E24" s="33" t="inlineStr">
        <is>
          <t>Xin ngay khi cảm xúc còn nóng. Ưu tiên người nói được kết quả cụ thể.</t>
        </is>
      </c>
      <c r="F24" s="31" t="inlineStr">
        <is>
          <t>Quan trọng</t>
        </is>
      </c>
      <c r="G24" s="34" t="inlineStr">
        <is>
          <t>KT/SP</t>
        </is>
      </c>
      <c r="H24" s="31" t="inlineStr">
        <is>
          <t>Chưa bắt đầu</t>
        </is>
      </c>
    </row>
    <row r="25" ht="28" customHeight="1">
      <c r="A25" s="31" t="inlineStr">
        <is>
          <t>SP-18</t>
        </is>
      </c>
      <c r="B25" s="31" t="inlineStr">
        <is>
          <t>D+7</t>
        </is>
      </c>
      <c r="C25" s="31" t="inlineStr">
        <is>
          <t>18/08</t>
        </is>
      </c>
      <c r="D25" s="32" t="inlineStr">
        <is>
          <t>Bàn giao học viên đã mua sang lớp chính và đóng vòng gia hạn</t>
        </is>
      </c>
      <c r="E25" s="33" t="inlineStr">
        <is>
          <t>Đúng giờ đóng vòng. Kéo dài một lần là mọi deadline của chuỗi sau mất hiệu lực.</t>
        </is>
      </c>
      <c r="F25" s="31" t="inlineStr">
        <is>
          <t>Quan trọng</t>
        </is>
      </c>
      <c r="G25" s="34" t="inlineStr">
        <is>
          <t>KT/SP</t>
        </is>
      </c>
      <c r="H25" s="31" t="inlineStr">
        <is>
          <t>Chưa bắt đầu</t>
        </is>
      </c>
    </row>
    <row r="26"/>
    <row r="27">
      <c r="D27" s="35" t="inlineStr">
        <is>
          <t>TIẾN ĐỘ</t>
        </is>
      </c>
      <c r="E27" s="36">
        <f>COUNTIF(H5:H25,"Xong")&amp;" / "&amp;COUNTA(H5:H25)&amp;" đầu việc đã xong"</f>
        <v/>
      </c>
    </row>
  </sheetData>
  <mergeCells count="5">
    <mergeCell ref="A1:H1"/>
    <mergeCell ref="A21:H21"/>
    <mergeCell ref="A2:H2"/>
    <mergeCell ref="A13:H13"/>
    <mergeCell ref="A5:H5"/>
  </mergeCells>
  <dataValidations count="1">
    <dataValidation sqref="H6 H7 H8 H9 H10 H11 H12 H14 H15 H16 H17 H18 H19 H20 H22 H23 H24 H25" showDropDown="0" showInputMessage="0" showErrorMessage="0" allowBlank="1" type="list">
      <formula1>"Chưa bắt đầu,Đang làm,Xong,Đang tắc"</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1"/>
  <sheetViews>
    <sheetView showGridLines="0" workbookViewId="0">
      <pane ySplit="4" topLeftCell="A5" activePane="bottomLeft" state="frozen"/>
      <selection pane="bottomLeft" activeCell="A1" sqref="A1"/>
    </sheetView>
  </sheetViews>
  <sheetFormatPr baseColWidth="8" defaultRowHeight="15"/>
  <cols>
    <col width="8" customWidth="1" min="1" max="1"/>
    <col width="8" customWidth="1" min="2" max="2"/>
    <col width="11" customWidth="1" min="3" max="3"/>
    <col width="44" customWidth="1" min="4" max="4"/>
    <col width="66" customWidth="1" min="5" max="5"/>
    <col width="12" customWidth="1" min="6" max="6"/>
    <col width="18" customWidth="1" min="7" max="7"/>
    <col width="15" customWidth="1" min="8" max="8"/>
  </cols>
  <sheetData>
    <row r="1" ht="22" customHeight="1">
      <c r="A1" s="10" t="inlineStr">
        <is>
          <t>KỸ THUẬT &amp; TỔ CHỨC LỚP</t>
        </is>
      </c>
    </row>
    <row r="2">
      <c r="A2" s="11" t="inlineStr">
        <is>
          <t>Hạ tầng bán vé · phòng Zoom · thiết bị · phương án dự phòng · quy trình trước – trong – sau mỗi buổi</t>
        </is>
      </c>
    </row>
    <row r="3"/>
    <row r="4" ht="28" customHeight="1">
      <c r="A4" s="12" t="inlineStr">
        <is>
          <t>Mã</t>
        </is>
      </c>
      <c r="B4" s="12" t="inlineStr">
        <is>
          <t>Mốc</t>
        </is>
      </c>
      <c r="C4" s="12" t="inlineStr">
        <is>
          <t>Hạn chót</t>
        </is>
      </c>
      <c r="D4" s="12" t="inlineStr">
        <is>
          <t>ĐẦU VIỆC</t>
        </is>
      </c>
      <c r="E4" s="12" t="inlineStr">
        <is>
          <t>TIÊU CHUẨN HOÀN THÀNH / GHI CHÚ</t>
        </is>
      </c>
      <c r="F4" s="12" t="inlineStr">
        <is>
          <t>Mức</t>
        </is>
      </c>
      <c r="G4" s="12" t="inlineStr">
        <is>
          <t>Người phụ trách</t>
        </is>
      </c>
      <c r="H4" s="12" t="inlineStr">
        <is>
          <t>Trạng thái</t>
        </is>
      </c>
    </row>
    <row r="5" ht="20" customHeight="1">
      <c r="A5" s="23" t="inlineStr">
        <is>
          <t>GIAI ĐOẠN 1 — HẠ TẦNG BÁN VÉ (D-14 → D-7). Thiếu bất kỳ mục nào là không bán được vé</t>
        </is>
      </c>
      <c r="B5" s="24" t="n"/>
      <c r="C5" s="24" t="n"/>
      <c r="D5" s="24" t="n"/>
      <c r="E5" s="24" t="n"/>
      <c r="F5" s="24" t="n"/>
      <c r="G5" s="24" t="n"/>
      <c r="H5" s="25" t="n"/>
    </row>
    <row r="6" ht="42" customHeight="1">
      <c r="A6" s="26" t="inlineStr">
        <is>
          <t>KT-01</t>
        </is>
      </c>
      <c r="B6" s="26" t="inlineStr">
        <is>
          <t>D-13</t>
        </is>
      </c>
      <c r="C6" s="26" t="inlineStr">
        <is>
          <t>29/07</t>
        </is>
      </c>
      <c r="D6" s="27" t="inlineStr">
        <is>
          <t>Nâng gói Zoom đủ tải cho mục tiêu 1.000–3.000 đăng ký</t>
        </is>
      </c>
      <c r="E6" s="28" t="inlineStr">
        <is>
          <t>Gói hiện tại nhiều khả năng không đủ. Cần Webinar hoặc Large Meeting ≥1.000 chỗ. Phòng đầy giữa buổi bán 12 triệu là mất buổi.</t>
        </is>
      </c>
      <c r="F6" s="29" t="inlineStr">
        <is>
          <t>CHẶN</t>
        </is>
      </c>
      <c r="G6" s="30" t="inlineStr">
        <is>
          <t>KT/SP</t>
        </is>
      </c>
      <c r="H6" s="26" t="inlineStr">
        <is>
          <t>Chưa bắt đầu</t>
        </is>
      </c>
    </row>
    <row r="7" ht="28" customHeight="1">
      <c r="A7" s="26" t="inlineStr">
        <is>
          <t>KT-02</t>
        </is>
      </c>
      <c r="B7" s="26" t="inlineStr">
        <is>
          <t>D-12</t>
        </is>
      </c>
      <c r="C7" s="26" t="inlineStr">
        <is>
          <t>30/07</t>
        </is>
      </c>
      <c r="D7" s="27" t="inlineStr">
        <is>
          <t>Landing 3 hạng vé + cổng thanh toán + trang cảm ơn đẩy thẳng vào Zalo</t>
        </is>
      </c>
      <c r="E7" s="28" t="inlineStr">
        <is>
          <t>Không có nơi bán vé thì không thu được vé và không thu được dữ liệu. Kiểm tra trên cả điện thoại và máy tính.</t>
        </is>
      </c>
      <c r="F7" s="29" t="inlineStr">
        <is>
          <t>CHẶN</t>
        </is>
      </c>
      <c r="G7" s="30" t="inlineStr">
        <is>
          <t>KT/SP</t>
        </is>
      </c>
      <c r="H7" s="26" t="inlineStr">
        <is>
          <t>Chưa bắt đầu</t>
        </is>
      </c>
    </row>
    <row r="8" ht="42" customHeight="1">
      <c r="A8" s="26" t="inlineStr">
        <is>
          <t>KT-03</t>
        </is>
      </c>
      <c r="B8" s="26" t="inlineStr">
        <is>
          <t>D-11</t>
        </is>
      </c>
      <c r="C8" s="26" t="inlineStr">
        <is>
          <t>31/07</t>
        </is>
      </c>
      <c r="D8" s="27" t="inlineStr">
        <is>
          <t>Cổng thanh toán xử lý được cơ chế nâng cấp trả phần chênh</t>
        </is>
      </c>
      <c r="E8" s="28" t="inlineStr">
        <is>
          <t>Đường đi 5 → 9 → 11 → 19 triệu. Nếu không xử lý được, toàn bộ cơ chế combo sụp và người mua sớm thành nhóm hối tiếc. Test thật một lượt nâng cấp trước khi mở bán.</t>
        </is>
      </c>
      <c r="F8" s="29" t="inlineStr">
        <is>
          <t>CHẶN</t>
        </is>
      </c>
      <c r="G8" s="30" t="inlineStr">
        <is>
          <t>KT/SP</t>
        </is>
      </c>
      <c r="H8" s="26" t="inlineStr">
        <is>
          <t>Chưa bắt đầu</t>
        </is>
      </c>
    </row>
    <row r="9" ht="42" customHeight="1">
      <c r="A9" s="26" t="inlineStr">
        <is>
          <t>KT-04</t>
        </is>
      </c>
      <c r="B9" s="26" t="inlineStr">
        <is>
          <t>D-10</t>
        </is>
      </c>
      <c r="C9" s="26" t="inlineStr">
        <is>
          <t>01/08</t>
        </is>
      </c>
      <c r="D9" s="27" t="inlineStr">
        <is>
          <t>Tạo 5 phòng Zoom, đặt lịch, bật record cloud, cài đặt quyền</t>
        </is>
      </c>
      <c r="E9" s="28" t="inlineStr">
        <is>
          <t>Tắt phòng chờ hoặc bố trí người duyệt · tắt quyền chia sẻ màn hình của người tham dự · bật chat · đặt tên phòng theo chủ đề từng buổi.</t>
        </is>
      </c>
      <c r="F9" s="29" t="inlineStr">
        <is>
          <t>CHẶN</t>
        </is>
      </c>
      <c r="G9" s="30" t="inlineStr">
        <is>
          <t>KT/SP</t>
        </is>
      </c>
      <c r="H9" s="26" t="inlineStr">
        <is>
          <t>Chưa bắt đầu</t>
        </is>
      </c>
    </row>
    <row r="10" ht="42" customHeight="1">
      <c r="A10" s="26" t="inlineStr">
        <is>
          <t>KT-05</t>
        </is>
      </c>
      <c r="B10" s="26" t="inlineStr">
        <is>
          <t>D-9</t>
        </is>
      </c>
      <c r="C10" s="26" t="inlineStr">
        <is>
          <t>02/08</t>
        </is>
      </c>
      <c r="D10" s="27" t="inlineStr">
        <is>
          <t>Cài poll Zoom phân loại 4 cấp độ cho buổi 1</t>
        </is>
      </c>
      <c r="E10" s="28" t="inlineStr">
        <is>
          <t>Brief ghi đây là dữ liệu phân tệp quý nhất cả chuỗi — quyết định ads và nội dung của 4 buổi còn lại. Test poll trước, không cài lúc đang live.</t>
        </is>
      </c>
      <c r="F10" s="29" t="inlineStr">
        <is>
          <t>CHẶN</t>
        </is>
      </c>
      <c r="G10" s="30" t="inlineStr">
        <is>
          <t>KT/SP</t>
        </is>
      </c>
      <c r="H10" s="26" t="inlineStr">
        <is>
          <t>Chưa bắt đầu</t>
        </is>
      </c>
    </row>
    <row r="11" ht="28" customHeight="1">
      <c r="A11" s="26" t="inlineStr">
        <is>
          <t>KT-06</t>
        </is>
      </c>
      <c r="B11" s="26" t="inlineStr">
        <is>
          <t>D-8</t>
        </is>
      </c>
      <c r="C11" s="26" t="inlineStr">
        <is>
          <t>03/08</t>
        </is>
      </c>
      <c r="D11" s="27" t="inlineStr">
        <is>
          <t>Chính sách hoàn tiền vé và hóa đơn VAT bằng văn bản</t>
        </is>
      </c>
      <c r="E11" s="28" t="inlineStr">
        <is>
          <t>Tệp chủ doanh nghiệp hỏi ngay trong buổi. Không trả lời được là mất deal tại chỗ. Đăng lên landing và đưa cho trợ giảng.</t>
        </is>
      </c>
      <c r="F11" s="29" t="inlineStr">
        <is>
          <t>CHẶN</t>
        </is>
      </c>
      <c r="G11" s="30" t="inlineStr">
        <is>
          <t>KT/SP</t>
        </is>
      </c>
      <c r="H11" s="26" t="inlineStr">
        <is>
          <t>Chưa bắt đầu</t>
        </is>
      </c>
    </row>
    <row r="12" ht="28" customHeight="1">
      <c r="A12" s="26" t="inlineStr">
        <is>
          <t>KT-07</t>
        </is>
      </c>
      <c r="B12" s="26" t="inlineStr">
        <is>
          <t>D-8</t>
        </is>
      </c>
      <c r="C12" s="26" t="inlineStr">
        <is>
          <t>03/08</t>
        </is>
      </c>
      <c r="D12" s="27" t="inlineStr">
        <is>
          <t>Chính sách khi khách ngừng trả phí công cụ — bằng văn bản, ghi vào hợp đồng</t>
        </is>
      </c>
      <c r="E12" s="28" t="inlineStr">
        <is>
          <t>Câu hỏi này chắc chắn xuất hiện ở buổi 5 khi bán gói 12–19 triệu. Ứng biến trên sóng là mất uy tín trước đúng tệp cần nhất.</t>
        </is>
      </c>
      <c r="F12" s="29" t="inlineStr">
        <is>
          <t>CHẶN</t>
        </is>
      </c>
      <c r="G12" s="30" t="inlineStr">
        <is>
          <t>KT/SP</t>
        </is>
      </c>
      <c r="H12" s="26" t="inlineStr">
        <is>
          <t>Chưa bắt đầu</t>
        </is>
      </c>
    </row>
    <row r="13" ht="20" customHeight="1">
      <c r="A13" s="23" t="inlineStr">
        <is>
          <t>GIAI ĐOẠN 2 — SẴN SÀNG KỸ THUẬT (D-7 → D-1)</t>
        </is>
      </c>
      <c r="B13" s="24" t="n"/>
      <c r="C13" s="24" t="n"/>
      <c r="D13" s="24" t="n"/>
      <c r="E13" s="24" t="n"/>
      <c r="F13" s="24" t="n"/>
      <c r="G13" s="24" t="n"/>
      <c r="H13" s="25" t="n"/>
    </row>
    <row r="14" ht="28" customHeight="1">
      <c r="A14" s="31" t="inlineStr">
        <is>
          <t>KT-08</t>
        </is>
      </c>
      <c r="B14" s="31" t="inlineStr">
        <is>
          <t>D-5</t>
        </is>
      </c>
      <c r="C14" s="31" t="inlineStr">
        <is>
          <t>06/08</t>
        </is>
      </c>
      <c r="D14" s="32" t="inlineStr">
        <is>
          <t>Test đường truyền, âm thanh, micro, hai màn hình, chia sẻ màn hình</t>
        </is>
      </c>
      <c r="E14" s="33" t="inlineStr">
        <is>
          <t>Test đúng vị trí và đúng khung giờ sẽ live, không test giữa trưa rồi kết luận ổn.</t>
        </is>
      </c>
      <c r="F14" s="31" t="inlineStr">
        <is>
          <t>Quan trọng</t>
        </is>
      </c>
      <c r="G14" s="34" t="inlineStr">
        <is>
          <t>KT/SP</t>
        </is>
      </c>
      <c r="H14" s="31" t="inlineStr">
        <is>
          <t>Chưa bắt đầu</t>
        </is>
      </c>
    </row>
    <row r="15" ht="28" customHeight="1">
      <c r="A15" s="26" t="inlineStr">
        <is>
          <t>KT-09</t>
        </is>
      </c>
      <c r="B15" s="26" t="inlineStr">
        <is>
          <t>D-4</t>
        </is>
      </c>
      <c r="C15" s="26" t="inlineStr">
        <is>
          <t>07/08</t>
        </is>
      </c>
      <c r="D15" s="27" t="inlineStr">
        <is>
          <t>Đóng gói bộ 12 agent mẫu cài được bằng một cú nhấn</t>
        </is>
      </c>
      <c r="E15" s="28" t="inlineStr">
        <is>
          <t>Đây là quà tặng đã hứa. Không cài tay nổi cho hàng trăm học viên. Test quy trình cài trên một máy sạch.</t>
        </is>
      </c>
      <c r="F15" s="29" t="inlineStr">
        <is>
          <t>CHẶN</t>
        </is>
      </c>
      <c r="G15" s="30" t="inlineStr">
        <is>
          <t>KT/SP</t>
        </is>
      </c>
      <c r="H15" s="26" t="inlineStr">
        <is>
          <t>Chưa bắt đầu</t>
        </is>
      </c>
    </row>
    <row r="16" ht="42" customHeight="1">
      <c r="A16" s="26" t="inlineStr">
        <is>
          <t>KT-10</t>
        </is>
      </c>
      <c r="B16" s="26" t="inlineStr">
        <is>
          <t>D-2</t>
        </is>
      </c>
      <c r="C16" s="26" t="inlineStr">
        <is>
          <t>09/08</t>
        </is>
      </c>
      <c r="D16" s="27" t="inlineStr">
        <is>
          <t>DIỄN TẬP KỸ THUẬT ĐẦY ĐỦ cùng An trên đường truyền thật</t>
        </is>
      </c>
      <c r="E16" s="28" t="inlineStr">
        <is>
          <t>Chạy hết 4 demo từ đầu đến cuối: agent 8 phút · mini app · Genful · Co-Founder Agent. Bấm giờ. Đây là buổi tổng duyệt duy nhất, không bỏ.</t>
        </is>
      </c>
      <c r="F16" s="29" t="inlineStr">
        <is>
          <t>CHẶN</t>
        </is>
      </c>
      <c r="G16" s="30" t="inlineStr">
        <is>
          <t>KT/SP</t>
        </is>
      </c>
      <c r="H16" s="26" t="inlineStr">
        <is>
          <t>Chưa bắt đầu</t>
        </is>
      </c>
    </row>
    <row r="17" ht="42" customHeight="1">
      <c r="A17" s="26" t="inlineStr">
        <is>
          <t>KT-11</t>
        </is>
      </c>
      <c r="B17" s="26" t="inlineStr">
        <is>
          <t>D-2</t>
        </is>
      </c>
      <c r="C17" s="26" t="inlineStr">
        <is>
          <t>09/08</t>
        </is>
      </c>
      <c r="D17" s="27" t="inlineStr">
        <is>
          <t>Chuẩn bị phương án B cho mọi demo</t>
        </is>
      </c>
      <c r="E17" s="28" t="inlineStr">
        <is>
          <t>Máy tính dự phòng đã cài sẵn · 4G phát sóng dự phòng · video quay sẵn từng demo để phát ngay khi công cụ treo. Brief ghi rõ: luôn chuẩn bị phương án B nếu công cụ treo.</t>
        </is>
      </c>
      <c r="F17" s="29" t="inlineStr">
        <is>
          <t>CHẶN</t>
        </is>
      </c>
      <c r="G17" s="30" t="inlineStr">
        <is>
          <t>KT/SP</t>
        </is>
      </c>
      <c r="H17" s="26" t="inlineStr">
        <is>
          <t>Chưa bắt đầu</t>
        </is>
      </c>
    </row>
    <row r="18" ht="28" customHeight="1">
      <c r="A18" s="31" t="inlineStr">
        <is>
          <t>KT-12</t>
        </is>
      </c>
      <c r="B18" s="31" t="inlineStr">
        <is>
          <t>D-1</t>
        </is>
      </c>
      <c r="C18" s="31" t="inlineStr">
        <is>
          <t>10/08</t>
        </is>
      </c>
      <c r="D18" s="32" t="inlineStr">
        <is>
          <t>Gửi link Zoom cho toàn bộ danh sách và mở phòng thử</t>
        </is>
      </c>
      <c r="E18" s="33" t="inlineStr">
        <is>
          <t>Gửi qua cả Zalo group và ZNS. Mở phòng 30 phút để người lo lắng vào thử trước.</t>
        </is>
      </c>
      <c r="F18" s="31" t="inlineStr">
        <is>
          <t>Quan trọng</t>
        </is>
      </c>
      <c r="G18" s="34" t="inlineStr">
        <is>
          <t>KT/SP</t>
        </is>
      </c>
      <c r="H18" s="31" t="inlineStr">
        <is>
          <t>Chưa bắt đầu</t>
        </is>
      </c>
    </row>
    <row r="19" ht="20" customHeight="1">
      <c r="A19" s="23" t="inlineStr">
        <is>
          <t>GIAI ĐOẠN 3 — QUY TRÌNH NGÀY CHẠY LIVE (lặp cho cả 5 buổi)</t>
        </is>
      </c>
      <c r="B19" s="24" t="n"/>
      <c r="C19" s="24" t="n"/>
      <c r="D19" s="24" t="n"/>
      <c r="E19" s="24" t="n"/>
      <c r="F19" s="24" t="n"/>
      <c r="G19" s="24" t="n"/>
      <c r="H19" s="25" t="n"/>
    </row>
    <row r="20" ht="28" customHeight="1">
      <c r="A20" s="26" t="inlineStr">
        <is>
          <t>KT-13</t>
        </is>
      </c>
      <c r="B20" s="26" t="inlineStr">
        <is>
          <t>D0</t>
        </is>
      </c>
      <c r="C20" s="26" t="inlineStr">
        <is>
          <t>11/08</t>
        </is>
      </c>
      <c r="D20" s="27" t="inlineStr">
        <is>
          <t>18:00 — kiểm tra thiết bị, đường truyền, mở sẵn công cụ demo</t>
        </is>
      </c>
      <c r="E20" s="28" t="inlineStr">
        <is>
          <t>Đăng nhập sẵn mọi tài khoản. Tắt thông báo trên máy chia sẻ màn hình.</t>
        </is>
      </c>
      <c r="F20" s="29" t="inlineStr">
        <is>
          <t>CHẶN</t>
        </is>
      </c>
      <c r="G20" s="30" t="inlineStr">
        <is>
          <t>KT/SP</t>
        </is>
      </c>
      <c r="H20" s="26" t="inlineStr">
        <is>
          <t>Chưa bắt đầu</t>
        </is>
      </c>
    </row>
    <row r="21" ht="28" customHeight="1">
      <c r="A21" s="26" t="inlineStr">
        <is>
          <t>KT-14</t>
        </is>
      </c>
      <c r="B21" s="26" t="inlineStr">
        <is>
          <t>D0</t>
        </is>
      </c>
      <c r="C21" s="26" t="inlineStr">
        <is>
          <t>11/08</t>
        </is>
      </c>
      <c r="D21" s="27" t="inlineStr">
        <is>
          <t>19:00 — chạy thử demo của buổi tối nay một lượt trong phòng nội bộ</t>
        </is>
      </c>
      <c r="E21" s="28" t="inlineStr">
        <is>
          <t>Công cụ chạy được chiều nay không có nghĩa là chạy được lúc 21:05.</t>
        </is>
      </c>
      <c r="F21" s="29" t="inlineStr">
        <is>
          <t>CHẶN</t>
        </is>
      </c>
      <c r="G21" s="30" t="inlineStr">
        <is>
          <t>KT/SP</t>
        </is>
      </c>
      <c r="H21" s="26" t="inlineStr">
        <is>
          <t>Chưa bắt đầu</t>
        </is>
      </c>
    </row>
    <row r="22" ht="28" customHeight="1">
      <c r="A22" s="31" t="inlineStr">
        <is>
          <t>KT-15</t>
        </is>
      </c>
      <c r="B22" s="31" t="inlineStr">
        <is>
          <t>D0</t>
        </is>
      </c>
      <c r="C22" s="31" t="inlineStr">
        <is>
          <t>11/08</t>
        </is>
      </c>
      <c r="D22" s="32" t="inlineStr">
        <is>
          <t>19:30 — mở phòng, chạy bumper, hỗ trợ người vào sớm</t>
        </is>
      </c>
      <c r="E22" s="33" t="inlineStr">
        <is>
          <t>Người vào sớm là người sẵn sàng mua nhất. Đừng để họ ngồi trước màn hình đen.</t>
        </is>
      </c>
      <c r="F22" s="31" t="inlineStr">
        <is>
          <t>Quan trọng</t>
        </is>
      </c>
      <c r="G22" s="34" t="inlineStr">
        <is>
          <t>KT/SP</t>
        </is>
      </c>
      <c r="H22" s="31" t="inlineStr">
        <is>
          <t>Chưa bắt đầu</t>
        </is>
      </c>
    </row>
    <row r="23" ht="28" customHeight="1">
      <c r="A23" s="31" t="inlineStr">
        <is>
          <t>KT-16</t>
        </is>
      </c>
      <c r="B23" s="31" t="inlineStr">
        <is>
          <t>D0</t>
        </is>
      </c>
      <c r="C23" s="31" t="inlineStr">
        <is>
          <t>11/08</t>
        </is>
      </c>
      <c r="D23" s="32" t="inlineStr">
        <is>
          <t>Trong buổi — thao tác công cụ theo lời dẫn của An</t>
        </is>
      </c>
      <c r="E23" s="33" t="inlineStr">
        <is>
          <t>Brief ghi rõ cách giữ nhịp: An kể chuyện, team bấm máy. Tập trước để không lệch nhịp.</t>
        </is>
      </c>
      <c r="F23" s="31" t="inlineStr">
        <is>
          <t>Quan trọng</t>
        </is>
      </c>
      <c r="G23" s="34" t="inlineStr">
        <is>
          <t>KT/SP</t>
        </is>
      </c>
      <c r="H23" s="31" t="inlineStr">
        <is>
          <t>Chưa bắt đầu</t>
        </is>
      </c>
    </row>
    <row r="24" ht="28" customHeight="1">
      <c r="A24" s="31" t="inlineStr">
        <is>
          <t>KT-17</t>
        </is>
      </c>
      <c r="B24" s="31" t="inlineStr">
        <is>
          <t>D0</t>
        </is>
      </c>
      <c r="C24" s="31" t="inlineStr">
        <is>
          <t>11/08</t>
        </is>
      </c>
      <c r="D24" s="32" t="inlineStr">
        <is>
          <t>Sau buổi — tải record, giao EDIT trước 8h sáng hôm sau</t>
        </is>
      </c>
      <c r="E24" s="33" t="inlineStr">
        <is>
          <t>Chậm một buổi là cả dây chuyền nội dung hôm sau đứng.</t>
        </is>
      </c>
      <c r="F24" s="31" t="inlineStr">
        <is>
          <t>Quan trọng</t>
        </is>
      </c>
      <c r="G24" s="34" t="inlineStr">
        <is>
          <t>KT/SP</t>
        </is>
      </c>
      <c r="H24" s="31" t="inlineStr">
        <is>
          <t>Chưa bắt đầu</t>
        </is>
      </c>
    </row>
    <row r="25" ht="42" customHeight="1">
      <c r="A25" s="31" t="inlineStr">
        <is>
          <t>KT-18</t>
        </is>
      </c>
      <c r="B25" s="31" t="inlineStr">
        <is>
          <t>D0</t>
        </is>
      </c>
      <c r="C25" s="31" t="inlineStr">
        <is>
          <t>11/08</t>
        </is>
      </c>
      <c r="D25" s="32" t="inlineStr">
        <is>
          <t>Sau buổi — xuất danh sách người dự, thời lượng xem, log chat</t>
        </is>
      </c>
      <c r="E25" s="33" t="inlineStr">
        <is>
          <t>Danh sách người dự giao ADS để tạo custom audience · log chat giao CP để lấy câu hỏi thật · thời lượng xem để biết chỗ người ta rời phòng.</t>
        </is>
      </c>
      <c r="F25" s="31" t="inlineStr">
        <is>
          <t>Quan trọng</t>
        </is>
      </c>
      <c r="G25" s="34" t="inlineStr">
        <is>
          <t>KT/SP</t>
        </is>
      </c>
      <c r="H25" s="31" t="inlineStr">
        <is>
          <t>Chưa bắt đầu</t>
        </is>
      </c>
    </row>
    <row r="26" ht="20" customHeight="1">
      <c r="A26" s="23" t="inlineStr">
        <is>
          <t>GIAI ĐOẠN 4 — SAU CHUỖI (D+5 → D+7)</t>
        </is>
      </c>
      <c r="B26" s="24" t="n"/>
      <c r="C26" s="24" t="n"/>
      <c r="D26" s="24" t="n"/>
      <c r="E26" s="24" t="n"/>
      <c r="F26" s="24" t="n"/>
      <c r="G26" s="24" t="n"/>
      <c r="H26" s="25" t="n"/>
    </row>
    <row r="27" ht="28" customHeight="1">
      <c r="A27" s="26" t="inlineStr">
        <is>
          <t>KT-19</t>
        </is>
      </c>
      <c r="B27" s="26" t="inlineStr">
        <is>
          <t>D+5</t>
        </is>
      </c>
      <c r="C27" s="26" t="inlineStr">
        <is>
          <t>16/08</t>
        </is>
      </c>
      <c r="D27" s="27" t="inlineStr">
        <is>
          <t>Bàn giao record đầy đủ cho vé 199K và 499K</t>
        </is>
      </c>
      <c r="E27" s="28" t="inlineStr">
        <is>
          <t>Kiểm tra từng người đã trả tiền đều nhận được quyền truy cập. Đối chiếu danh sách thanh toán với danh sách được cấp quyền.</t>
        </is>
      </c>
      <c r="F27" s="29" t="inlineStr">
        <is>
          <t>CHẶN</t>
        </is>
      </c>
      <c r="G27" s="30" t="inlineStr">
        <is>
          <t>KT/SP</t>
        </is>
      </c>
      <c r="H27" s="26" t="inlineStr">
        <is>
          <t>Chưa bắt đầu</t>
        </is>
      </c>
    </row>
    <row r="28" ht="28" customHeight="1">
      <c r="A28" s="31" t="inlineStr">
        <is>
          <t>KT-20</t>
        </is>
      </c>
      <c r="B28" s="31" t="inlineStr">
        <is>
          <t>D+6</t>
        </is>
      </c>
      <c r="C28" s="31" t="inlineStr">
        <is>
          <t>17/08</t>
        </is>
      </c>
      <c r="D28" s="32" t="inlineStr">
        <is>
          <t>Xuất bộ dữ liệu tổng cho báo cáo</t>
        </is>
      </c>
      <c r="E28" s="33" t="inlineStr">
        <is>
          <t>Đăng ký · show rate từng buổi · thời lượng xem trung bình · đơn theo từng buổi. Giao ADS để dựng báo cáo tổng.</t>
        </is>
      </c>
      <c r="F28" s="31" t="inlineStr">
        <is>
          <t>Quan trọng</t>
        </is>
      </c>
      <c r="G28" s="34" t="inlineStr">
        <is>
          <t>KT/SP</t>
        </is>
      </c>
      <c r="H28" s="31" t="inlineStr">
        <is>
          <t>Chưa bắt đầu</t>
        </is>
      </c>
    </row>
    <row r="29" ht="28" customHeight="1">
      <c r="A29" s="31" t="inlineStr">
        <is>
          <t>KT-21</t>
        </is>
      </c>
      <c r="B29" s="31" t="inlineStr">
        <is>
          <t>D+7</t>
        </is>
      </c>
      <c r="C29" s="31" t="inlineStr">
        <is>
          <t>18/08</t>
        </is>
      </c>
      <c r="D29" s="32" t="inlineStr">
        <is>
          <t>Rà soát và đóng quyền truy cập, lưu trữ dữ liệu</t>
        </is>
      </c>
      <c r="E29" s="33" t="inlineStr">
        <is>
          <t>Sao lưu record và danh sách vào nơi lưu trữ chuẩn. Đóng các quyền tạm cấp trong tuần live.</t>
        </is>
      </c>
      <c r="F29" s="31" t="inlineStr">
        <is>
          <t>Nên có</t>
        </is>
      </c>
      <c r="G29" s="34" t="inlineStr">
        <is>
          <t>KT/SP</t>
        </is>
      </c>
      <c r="H29" s="31" t="inlineStr">
        <is>
          <t>Chưa bắt đầu</t>
        </is>
      </c>
    </row>
    <row r="30"/>
    <row r="31">
      <c r="D31" s="35" t="inlineStr">
        <is>
          <t>TIẾN ĐỘ</t>
        </is>
      </c>
      <c r="E31" s="36">
        <f>COUNTIF(H5:H29,"Xong")&amp;" / "&amp;COUNTA(H5:H29)&amp;" đầu việc đã xong"</f>
        <v/>
      </c>
    </row>
  </sheetData>
  <mergeCells count="6">
    <mergeCell ref="A1:H1"/>
    <mergeCell ref="A26:H26"/>
    <mergeCell ref="A2:H2"/>
    <mergeCell ref="A19:H19"/>
    <mergeCell ref="A13:H13"/>
    <mergeCell ref="A5:H5"/>
  </mergeCells>
  <dataValidations count="1">
    <dataValidation sqref="H6 H7 H8 H9 H10 H11 H12 H14 H15 H16 H17 H18 H20 H21 H22 H23 H24 H25 H27 H28 H29" showDropDown="0" showInputMessage="0" showErrorMessage="0" allowBlank="1" type="list">
      <formula1>"Chưa bắt đầu,Đang làm,Xong,Đang tắc"</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0"/>
  <sheetViews>
    <sheetView showGridLines="0" workbookViewId="0">
      <pane ySplit="4" topLeftCell="A5" activePane="bottomLeft" state="frozen"/>
      <selection pane="bottomLeft" activeCell="A1" sqref="A1"/>
    </sheetView>
  </sheetViews>
  <sheetFormatPr baseColWidth="8" defaultRowHeight="15"/>
  <cols>
    <col width="8" customWidth="1" min="1" max="1"/>
    <col width="8" customWidth="1" min="2" max="2"/>
    <col width="11" customWidth="1" min="3" max="3"/>
    <col width="44" customWidth="1" min="4" max="4"/>
    <col width="66" customWidth="1" min="5" max="5"/>
    <col width="12" customWidth="1" min="6" max="6"/>
    <col width="18" customWidth="1" min="7" max="7"/>
    <col width="15" customWidth="1" min="8" max="8"/>
  </cols>
  <sheetData>
    <row r="1" ht="22" customHeight="1">
      <c r="A1" s="10" t="inlineStr">
        <is>
          <t>AN - SLIDE &amp; DEMO</t>
        </is>
      </c>
    </row>
    <row r="2">
      <c r="A2" s="11" t="inlineStr">
        <is>
          <t>ĐƯỜNG GĂNG CỦA CẢ DỰ ÁN. Mọi bộ phận khác chờ đầu ra của sheet này. Trễ ở đây không bù được bằng ngân sách.</t>
        </is>
      </c>
    </row>
    <row r="3"/>
    <row r="4" ht="28" customHeight="1">
      <c r="A4" s="12" t="inlineStr">
        <is>
          <t>Mã</t>
        </is>
      </c>
      <c r="B4" s="12" t="inlineStr">
        <is>
          <t>Mốc</t>
        </is>
      </c>
      <c r="C4" s="12" t="inlineStr">
        <is>
          <t>Hạn chót</t>
        </is>
      </c>
      <c r="D4" s="12" t="inlineStr">
        <is>
          <t>ĐẦU VIỆC</t>
        </is>
      </c>
      <c r="E4" s="12" t="inlineStr">
        <is>
          <t>TIÊU CHUẨN HOÀN THÀNH / GHI CHÚ</t>
        </is>
      </c>
      <c r="F4" s="12" t="inlineStr">
        <is>
          <t>Mức</t>
        </is>
      </c>
      <c r="G4" s="12" t="inlineStr">
        <is>
          <t>Người phụ trách</t>
        </is>
      </c>
      <c r="H4" s="12" t="inlineStr">
        <is>
          <t>Trạng thái</t>
        </is>
      </c>
    </row>
    <row r="5" ht="20" customHeight="1">
      <c r="A5" s="23" t="inlineStr">
        <is>
          <t>SLIDE VÀ NỘI DUNG GIẢNG</t>
        </is>
      </c>
      <c r="B5" s="24" t="n"/>
      <c r="C5" s="24" t="n"/>
      <c r="D5" s="24" t="n"/>
      <c r="E5" s="24" t="n"/>
      <c r="F5" s="24" t="n"/>
      <c r="G5" s="24" t="n"/>
      <c r="H5" s="25" t="n"/>
    </row>
    <row r="6" ht="42" customHeight="1">
      <c r="A6" s="26" t="inlineStr">
        <is>
          <t>TH-01</t>
        </is>
      </c>
      <c r="B6" s="26" t="inlineStr">
        <is>
          <t>D-14</t>
        </is>
      </c>
      <c r="C6" s="26" t="inlineStr">
        <is>
          <t>28/07</t>
        </is>
      </c>
      <c r="D6" s="27" t="inlineStr">
        <is>
          <t>Chốt outline chi tiết 5 buổi từ brief đã có</t>
        </is>
      </c>
      <c r="E6" s="28" t="inlineStr">
        <is>
          <t>Brief Demo_Brief_5_Buoi.xlsx đã có đủ chủ đề, niềm tin cần phá, nội dung trình bày và kết quả từng buổi. Việc còn lại là chốt, không phải nghĩ lại từ đầu.</t>
        </is>
      </c>
      <c r="F6" s="29" t="inlineStr">
        <is>
          <t>CHẶN</t>
        </is>
      </c>
      <c r="G6" s="30" t="inlineStr">
        <is>
          <t>AN</t>
        </is>
      </c>
      <c r="H6" s="26" t="inlineStr">
        <is>
          <t>Chưa bắt đầu</t>
        </is>
      </c>
    </row>
    <row r="7" ht="42" customHeight="1">
      <c r="A7" s="26" t="inlineStr">
        <is>
          <t>TH-02</t>
        </is>
      </c>
      <c r="B7" s="26" t="inlineStr">
        <is>
          <t>D-12</t>
        </is>
      </c>
      <c r="C7" s="26" t="inlineStr">
        <is>
          <t>30/07</t>
        </is>
      </c>
      <c r="D7" s="27" t="inlineStr">
        <is>
          <t>Slide buổi 1 — Bức tranh lớn</t>
        </is>
      </c>
      <c r="E7" s="28" t="inlineStr">
        <is>
          <t>Gồm slide 4 cấp độ Agentic Business OS và câu hỏi poll phân loại. Buổi này không bán khóa, chỉ mời nâng cấp vé và mở 3 vòng lặp cho buổi 3, 4, 5 — nói cụ thể, không úp mở.</t>
        </is>
      </c>
      <c r="F7" s="29" t="inlineStr">
        <is>
          <t>CHẶN</t>
        </is>
      </c>
      <c r="G7" s="30" t="inlineStr">
        <is>
          <t>AN</t>
        </is>
      </c>
      <c r="H7" s="26" t="inlineStr">
        <is>
          <t>Chưa bắt đầu</t>
        </is>
      </c>
    </row>
    <row r="8" ht="42" customHeight="1">
      <c r="A8" s="26" t="inlineStr">
        <is>
          <t>TH-03</t>
        </is>
      </c>
      <c r="B8" s="26" t="inlineStr">
        <is>
          <t>D-11</t>
        </is>
      </c>
      <c r="C8" s="26" t="inlineStr">
        <is>
          <t>31/07</t>
        </is>
      </c>
      <c r="D8" s="27" t="inlineStr">
        <is>
          <t>Slide buổi 2 — Work OS</t>
        </is>
      </c>
      <c r="E8" s="28" t="inlineStr">
        <is>
          <t>Bảng chấm điểm 20 việc lặp theo tần suất × thời gian × mức chuẩn hóa · 5 thành phần của một agent · phần công bố cơ chế nâng cấp 48 giờ.</t>
        </is>
      </c>
      <c r="F8" s="29" t="inlineStr">
        <is>
          <t>CHẶN</t>
        </is>
      </c>
      <c r="G8" s="30" t="inlineStr">
        <is>
          <t>AN</t>
        </is>
      </c>
      <c r="H8" s="26" t="inlineStr">
        <is>
          <t>Chưa bắt đầu</t>
        </is>
      </c>
    </row>
    <row r="9" ht="28" customHeight="1">
      <c r="A9" s="26" t="inlineStr">
        <is>
          <t>TH-04</t>
        </is>
      </c>
      <c r="B9" s="26" t="inlineStr">
        <is>
          <t>D-9</t>
        </is>
      </c>
      <c r="C9" s="26" t="inlineStr">
        <is>
          <t>02/08</t>
        </is>
      </c>
      <c r="D9" s="27" t="inlineStr">
        <is>
          <t>Slide buổi 3 — Product OS</t>
        </is>
      </c>
      <c r="E9" s="28" t="inlineStr">
        <is>
          <t>Các mô hình sản phẩm số · cách chọn ngách · cấu trúc offer theo kết quả · phần mở Gói 2 khóa 9 triệu.</t>
        </is>
      </c>
      <c r="F9" s="29" t="inlineStr">
        <is>
          <t>CHẶN</t>
        </is>
      </c>
      <c r="G9" s="30" t="inlineStr">
        <is>
          <t>AN</t>
        </is>
      </c>
      <c r="H9" s="26" t="inlineStr">
        <is>
          <t>Chưa bắt đầu</t>
        </is>
      </c>
    </row>
    <row r="10" ht="28" customHeight="1">
      <c r="A10" s="26" t="inlineStr">
        <is>
          <t>TH-05</t>
        </is>
      </c>
      <c r="B10" s="26" t="inlineStr">
        <is>
          <t>D-7</t>
        </is>
      </c>
      <c r="C10" s="26" t="inlineStr">
        <is>
          <t>04/08</t>
        </is>
      </c>
      <c r="D10" s="27" t="inlineStr">
        <is>
          <t>Slide buổi 4 — Channel OS</t>
        </is>
      </c>
      <c r="E10" s="28" t="inlineStr">
        <is>
          <t>Ba mô hình dòng tiền · công thức hook · dây chuyền sản xuất video · phần mở Gói 3 khóa 11 triệu.</t>
        </is>
      </c>
      <c r="F10" s="29" t="inlineStr">
        <is>
          <t>CHẶN</t>
        </is>
      </c>
      <c r="G10" s="30" t="inlineStr">
        <is>
          <t>AN</t>
        </is>
      </c>
      <c r="H10" s="26" t="inlineStr">
        <is>
          <t>Chưa bắt đầu</t>
        </is>
      </c>
    </row>
    <row r="11" ht="42" customHeight="1">
      <c r="A11" s="26" t="inlineStr">
        <is>
          <t>TH-06</t>
        </is>
      </c>
      <c r="B11" s="26" t="inlineStr">
        <is>
          <t>D-4</t>
        </is>
      </c>
      <c r="C11" s="26" t="inlineStr">
        <is>
          <t>07/08</t>
        </is>
      </c>
      <c r="D11" s="27" t="inlineStr">
        <is>
          <t>Slide buổi 5 — Business OS + Bản đồ 90 ngày + Form kim cương</t>
        </is>
      </c>
      <c r="E11" s="28" t="inlineStr">
        <is>
          <t>Buổi chốt lớn nhất. Thêm 15 phút cho Bản đồ 90 ngày và form kim cương trước giờ sale. Cần thêm cơ chế cá nhân hóa bản đồ từ dữ liệu form.</t>
        </is>
      </c>
      <c r="F11" s="29" t="inlineStr">
        <is>
          <t>CHẶN</t>
        </is>
      </c>
      <c r="G11" s="30" t="inlineStr">
        <is>
          <t>AN</t>
        </is>
      </c>
      <c r="H11" s="26" t="inlineStr">
        <is>
          <t>Chưa bắt đầu</t>
        </is>
      </c>
    </row>
    <row r="12" ht="42" customHeight="1">
      <c r="A12" s="31" t="inlineStr">
        <is>
          <t>TH-07</t>
        </is>
      </c>
      <c r="B12" s="31" t="inlineStr">
        <is>
          <t>D-3</t>
        </is>
      </c>
      <c r="C12" s="31" t="inlineStr">
        <is>
          <t>08/08</t>
        </is>
      </c>
      <c r="D12" s="32" t="inlineStr">
        <is>
          <t>Tổng duyệt slide cả 5 buổi</t>
        </is>
      </c>
      <c r="E12" s="33" t="inlineStr">
        <is>
          <t>Đọc liền mạch để kiểm tra mạch chuyển giữa các buổi và chỗ bắc cầu sang phần bán. Brief ghi: gãy sang bán hàng đột ngột là mất phòng.</t>
        </is>
      </c>
      <c r="F12" s="31" t="inlineStr">
        <is>
          <t>Quan trọng</t>
        </is>
      </c>
      <c r="G12" s="34" t="inlineStr">
        <is>
          <t>AN</t>
        </is>
      </c>
      <c r="H12" s="31" t="inlineStr">
        <is>
          <t>Chưa bắt đầu</t>
        </is>
      </c>
    </row>
    <row r="13" ht="20" customHeight="1">
      <c r="A13" s="23" t="inlineStr">
        <is>
          <t>DEMO LIVE — brief ghi đây là khoảnh khắc quyết định của mỗi buổi</t>
        </is>
      </c>
      <c r="B13" s="24" t="n"/>
      <c r="C13" s="24" t="n"/>
      <c r="D13" s="24" t="n"/>
      <c r="E13" s="24" t="n"/>
      <c r="F13" s="24" t="n"/>
      <c r="G13" s="24" t="n"/>
      <c r="H13" s="25" t="n"/>
    </row>
    <row r="14" ht="28" customHeight="1">
      <c r="A14" s="26" t="inlineStr">
        <is>
          <t>TH-08</t>
        </is>
      </c>
      <c r="B14" s="26" t="inlineStr">
        <is>
          <t>D-12</t>
        </is>
      </c>
      <c r="C14" s="26" t="inlineStr">
        <is>
          <t>30/07</t>
        </is>
      </c>
      <c r="D14" s="27" t="inlineStr">
        <is>
          <t>Dựng agent demo 8 phút cho buổi 2</t>
        </is>
      </c>
      <c r="E14" s="28" t="inlineStr">
        <is>
          <t>Chạy thật, không cắt ghép. Chạy thử tối thiểu 3 lần, bấm giờ để chắc chắn nằm trong 8 phút.</t>
        </is>
      </c>
      <c r="F14" s="29" t="inlineStr">
        <is>
          <t>CHẶN</t>
        </is>
      </c>
      <c r="G14" s="30" t="inlineStr">
        <is>
          <t>AN</t>
        </is>
      </c>
      <c r="H14" s="26" t="inlineStr">
        <is>
          <t>Chưa bắt đầu</t>
        </is>
      </c>
    </row>
    <row r="15" ht="28" customHeight="1">
      <c r="A15" s="26" t="inlineStr">
        <is>
          <t>TH-09</t>
        </is>
      </c>
      <c r="B15" s="26" t="inlineStr">
        <is>
          <t>D-9</t>
        </is>
      </c>
      <c r="C15" s="26" t="inlineStr">
        <is>
          <t>02/08</t>
        </is>
      </c>
      <c r="D15" s="27" t="inlineStr">
        <is>
          <t>Dựng mini app demo cho buổi 3 — từ ý tưởng đến link chạy được</t>
        </is>
      </c>
      <c r="E15" s="28" t="inlineStr">
        <is>
          <t>Đây là bằng chứng cho lời hứa 'không cần biết lập trình'. Chuẩn bị sẵn link dự phòng nếu build live thất bại.</t>
        </is>
      </c>
      <c r="F15" s="29" t="inlineStr">
        <is>
          <t>CHẶN</t>
        </is>
      </c>
      <c r="G15" s="30" t="inlineStr">
        <is>
          <t>AN</t>
        </is>
      </c>
      <c r="H15" s="26" t="inlineStr">
        <is>
          <t>Chưa bắt đầu</t>
        </is>
      </c>
    </row>
    <row r="16" ht="28" customHeight="1">
      <c r="A16" s="26" t="inlineStr">
        <is>
          <t>TH-10</t>
        </is>
      </c>
      <c r="B16" s="26" t="inlineStr">
        <is>
          <t>D-7</t>
        </is>
      </c>
      <c r="C16" s="26" t="inlineStr">
        <is>
          <t>04/08</t>
        </is>
      </c>
      <c r="D16" s="27" t="inlineStr">
        <is>
          <t>Chạy thật dây chuyền Genful cho buổi 4</t>
        </is>
      </c>
      <c r="E16" s="28" t="inlineStr">
        <is>
          <t>Ý tưởng → kịch bản → giọng → hình → video hoàn chỉnh. Brief ghi đây là demo mạnh nhất về thị giác cả chuỗi.</t>
        </is>
      </c>
      <c r="F16" s="29" t="inlineStr">
        <is>
          <t>CHẶN</t>
        </is>
      </c>
      <c r="G16" s="30" t="inlineStr">
        <is>
          <t>AN</t>
        </is>
      </c>
      <c r="H16" s="26" t="inlineStr">
        <is>
          <t>Chưa bắt đầu</t>
        </is>
      </c>
    </row>
    <row r="17" ht="56" customHeight="1">
      <c r="A17" s="26" t="inlineStr">
        <is>
          <t>TH-11</t>
        </is>
      </c>
      <c r="B17" s="26" t="inlineStr">
        <is>
          <t>D-5</t>
        </is>
      </c>
      <c r="C17" s="26" t="inlineStr">
        <is>
          <t>06/08</t>
        </is>
      </c>
      <c r="D17" s="27" t="inlineStr">
        <is>
          <t>CO-FOUNDER AGENT — build xong và demo được live</t>
        </is>
      </c>
      <c r="E17" s="28" t="inlineStr">
        <is>
          <t>RỦI RO LỚN NHẤT CẢ PHỄU. Buổi 5 bán gói 12 triệu và trọn bộ 19 triệu, phụ thuộc hoàn toàn vào demo này. Một câu lệnh tiếng Việt → chia việc cho 3 agent con → tổng hợp báo cáo. Nếu D-5 chưa chạy được, phải quyết định ngay: lùi lịch hay đổi demo.</t>
        </is>
      </c>
      <c r="F17" s="29" t="inlineStr">
        <is>
          <t>CHẶN</t>
        </is>
      </c>
      <c r="G17" s="30" t="inlineStr">
        <is>
          <t>AN</t>
        </is>
      </c>
      <c r="H17" s="26" t="inlineStr">
        <is>
          <t>Chưa bắt đầu</t>
        </is>
      </c>
    </row>
    <row r="18" ht="42" customHeight="1">
      <c r="A18" s="26" t="inlineStr">
        <is>
          <t>TH-12</t>
        </is>
      </c>
      <c r="B18" s="26" t="inlineStr">
        <is>
          <t>D-2</t>
        </is>
      </c>
      <c r="C18" s="26" t="inlineStr">
        <is>
          <t>09/08</t>
        </is>
      </c>
      <c r="D18" s="27" t="inlineStr">
        <is>
          <t>Chạy thử toàn bộ 4 demo trong buổi tổng duyệt với KT</t>
        </is>
      </c>
      <c r="E18" s="28" t="inlineStr">
        <is>
          <t>Trên đường truyền thật, đúng khung giờ live. Kèm tập luôn kịch bản khi công cụ treo: nói gì trong lúc chuyển sang video dự phòng.</t>
        </is>
      </c>
      <c r="F18" s="29" t="inlineStr">
        <is>
          <t>CHẶN</t>
        </is>
      </c>
      <c r="G18" s="30" t="inlineStr">
        <is>
          <t>AN</t>
        </is>
      </c>
      <c r="H18" s="26" t="inlineStr">
        <is>
          <t>Chưa bắt đầu</t>
        </is>
      </c>
    </row>
    <row r="19" ht="20" customHeight="1">
      <c r="A19" s="23" t="inlineStr">
        <is>
          <t>CHẤT LIỆU CHỨNG MINH — brief ghi rõ hai mục này HIỆN CHƯA CÓ</t>
        </is>
      </c>
      <c r="B19" s="24" t="n"/>
      <c r="C19" s="24" t="n"/>
      <c r="D19" s="24" t="n"/>
      <c r="E19" s="24" t="n"/>
      <c r="F19" s="24" t="n"/>
      <c r="G19" s="24" t="n"/>
      <c r="H19" s="25" t="n"/>
    </row>
    <row r="20" ht="28" customHeight="1">
      <c r="A20" s="26" t="inlineStr">
        <is>
          <t>TH-13</t>
        </is>
      </c>
      <c r="B20" s="26" t="inlineStr">
        <is>
          <t>D-8</t>
        </is>
      </c>
      <c r="C20" s="26" t="inlineStr">
        <is>
          <t>03/08</t>
        </is>
      </c>
      <c r="D20" s="27" t="inlineStr">
        <is>
          <t>CASE STUDY SẢN PHẨM SỐ CÓ SỐ (buổi 3)</t>
        </is>
      </c>
      <c r="E20" s="28" t="inlineStr">
        <is>
          <t>Cần số thật: doanh thu, thời gian xây, số khách. Không có số thì phần chốt buổi 3 thiếu chân đứng và gói 9 triệu khó bán.</t>
        </is>
      </c>
      <c r="F20" s="29" t="inlineStr">
        <is>
          <t>CHẶN</t>
        </is>
      </c>
      <c r="G20" s="30" t="inlineStr">
        <is>
          <t>AN</t>
        </is>
      </c>
      <c r="H20" s="26" t="inlineStr">
        <is>
          <t>Chưa bắt đầu</t>
        </is>
      </c>
    </row>
    <row r="21" ht="28" customHeight="1">
      <c r="A21" s="26" t="inlineStr">
        <is>
          <t>TH-14</t>
        </is>
      </c>
      <c r="B21" s="26" t="inlineStr">
        <is>
          <t>D-6</t>
        </is>
      </c>
      <c r="C21" s="26" t="inlineStr">
        <is>
          <t>05/08</t>
        </is>
      </c>
      <c r="D21" s="27" t="inlineStr">
        <is>
          <t>CASE STUDY KÊNH AI CÓ SỐ (buổi 4)</t>
        </is>
      </c>
      <c r="E21" s="28" t="inlineStr">
        <is>
          <t>Cần số thật: số video, lượt xem, doanh thu affiliate hoặc từ view. Không có số thì phần chốt buổi 4 thiếu chân đứng.</t>
        </is>
      </c>
      <c r="F21" s="29" t="inlineStr">
        <is>
          <t>CHẶN</t>
        </is>
      </c>
      <c r="G21" s="30" t="inlineStr">
        <is>
          <t>AN</t>
        </is>
      </c>
      <c r="H21" s="26" t="inlineStr">
        <is>
          <t>Chưa bắt đầu</t>
        </is>
      </c>
    </row>
    <row r="22" ht="20" customHeight="1">
      <c r="A22" s="23" t="inlineStr">
        <is>
          <t>GIỮ SỨC VÀ VẬN HÀNH TRONG TUẦN LIVE</t>
        </is>
      </c>
      <c r="B22" s="24" t="n"/>
      <c r="C22" s="24" t="n"/>
      <c r="D22" s="24" t="n"/>
      <c r="E22" s="24" t="n"/>
      <c r="F22" s="24" t="n"/>
      <c r="G22" s="24" t="n"/>
      <c r="H22" s="25" t="n"/>
    </row>
    <row r="23" ht="28" customHeight="1">
      <c r="A23" s="31" t="inlineStr">
        <is>
          <t>TH-15</t>
        </is>
      </c>
      <c r="B23" s="31" t="inlineStr">
        <is>
          <t>D-1</t>
        </is>
      </c>
      <c r="C23" s="31" t="inlineStr">
        <is>
          <t>10/08</t>
        </is>
      </c>
      <c r="D23" s="32" t="inlineStr">
        <is>
          <t>Không sửa slide. Nghỉ ngơi, giữ giọng</t>
        </is>
      </c>
      <c r="E23" s="33" t="inlineStr">
        <is>
          <t>Sửa slide sát giờ là nguyên nhân phổ biến nhất khiến người dẫn mất nhịp trên sóng.</t>
        </is>
      </c>
      <c r="F23" s="31" t="inlineStr">
        <is>
          <t>Quan trọng</t>
        </is>
      </c>
      <c r="G23" s="34" t="inlineStr">
        <is>
          <t>AN</t>
        </is>
      </c>
      <c r="H23" s="31" t="inlineStr">
        <is>
          <t>Chưa bắt đầu</t>
        </is>
      </c>
    </row>
    <row r="24" ht="28" customHeight="1">
      <c r="A24" s="31" t="inlineStr">
        <is>
          <t>TH-16</t>
        </is>
      </c>
      <c r="B24" s="31" t="inlineStr">
        <is>
          <t>D0</t>
        </is>
      </c>
      <c r="C24" s="31" t="inlineStr">
        <is>
          <t>11/08</t>
        </is>
      </c>
      <c r="D24" s="32" t="inlineStr">
        <is>
          <t>Mỗi buổi 20:10 — phần MỞ TƯ DUY, phá đúng một niềm tin</t>
        </is>
      </c>
      <c r="E24" s="33" t="inlineStr">
        <is>
          <t>Trial close liên tục trong lúc nói: 'Anh chị có thấy quen không? Gõ CÓ vào chat.'</t>
        </is>
      </c>
      <c r="F24" s="31" t="inlineStr">
        <is>
          <t>Quan trọng</t>
        </is>
      </c>
      <c r="G24" s="34" t="inlineStr">
        <is>
          <t>AN</t>
        </is>
      </c>
      <c r="H24" s="31" t="inlineStr">
        <is>
          <t>Chưa bắt đầu</t>
        </is>
      </c>
    </row>
    <row r="25" ht="42" customHeight="1">
      <c r="A25" s="26" t="inlineStr">
        <is>
          <t>TH-17</t>
        </is>
      </c>
      <c r="B25" s="26" t="inlineStr">
        <is>
          <t>D+1</t>
        </is>
      </c>
      <c r="C25" s="26" t="inlineStr">
        <is>
          <t>12/08</t>
        </is>
      </c>
      <c r="D25" s="27" t="inlineStr">
        <is>
          <t>Buổi 2 — công bố cơ chế nâng cấp 48 giờ TRƯỚC lần chốt đầu tiên</t>
        </is>
      </c>
      <c r="E25" s="28" t="inlineStr">
        <is>
          <t>Bắt buộc. Ba đường đi đều về 19 triệu. Không ai bị phạt vì mua sớm, không ai được thưởng vì chờ. Công bố sau lần chốt đầu là mất niềm tin của người mua sớm.</t>
        </is>
      </c>
      <c r="F25" s="29" t="inlineStr">
        <is>
          <t>CHẶN</t>
        </is>
      </c>
      <c r="G25" s="30" t="inlineStr">
        <is>
          <t>AN</t>
        </is>
      </c>
      <c r="H25" s="26" t="inlineStr">
        <is>
          <t>Chưa bắt đầu</t>
        </is>
      </c>
    </row>
    <row r="26" ht="28" customHeight="1">
      <c r="A26" s="31" t="inlineStr">
        <is>
          <t>TH-18</t>
        </is>
      </c>
      <c r="B26" s="31" t="inlineStr">
        <is>
          <t>D+1</t>
        </is>
      </c>
      <c r="C26" s="31" t="inlineStr">
        <is>
          <t>12/08</t>
        </is>
      </c>
      <c r="D26" s="32" t="inlineStr">
        <is>
          <t>Mỗi buổi — KHÔNG báo giá trước 22:05</t>
        </is>
      </c>
      <c r="E26" s="33" t="inlineStr">
        <is>
          <t>Xếp chồng từng cấu phần, mỗi cấu phần gắn một phản đối, cộng dồn tổng giá trị rồi mới hạ giá.</t>
        </is>
      </c>
      <c r="F26" s="31" t="inlineStr">
        <is>
          <t>Quan trọng</t>
        </is>
      </c>
      <c r="G26" s="34" t="inlineStr">
        <is>
          <t>AN</t>
        </is>
      </c>
      <c r="H26" s="31" t="inlineStr">
        <is>
          <t>Chưa bắt đầu</t>
        </is>
      </c>
    </row>
    <row r="27" ht="28" customHeight="1">
      <c r="A27" s="26" t="inlineStr">
        <is>
          <t>TH-19</t>
        </is>
      </c>
      <c r="B27" s="26" t="inlineStr">
        <is>
          <t>D+4</t>
        </is>
      </c>
      <c r="C27" s="26" t="inlineStr">
        <is>
          <t>15/08</t>
        </is>
      </c>
      <c r="D27" s="27" t="inlineStr">
        <is>
          <t>Buổi 5 — công bố gia hạn 48 giờ và mở Gói trọn bộ 19 triệu</t>
        </is>
      </c>
      <c r="E27" s="28" t="inlineStr">
        <is>
          <t>Câu bán: 'Thêm Co-Founder chỉ 8 triệu thay vì 12.' Q&amp;A kéo tới 22:45 vì deal lớn cần nhiều thời gian gỡ.</t>
        </is>
      </c>
      <c r="F27" s="29" t="inlineStr">
        <is>
          <t>CHẶN</t>
        </is>
      </c>
      <c r="G27" s="30" t="inlineStr">
        <is>
          <t>AN</t>
        </is>
      </c>
      <c r="H27" s="26" t="inlineStr">
        <is>
          <t>Chưa bắt đầu</t>
        </is>
      </c>
    </row>
    <row r="28" ht="42" customHeight="1">
      <c r="A28" s="31" t="inlineStr">
        <is>
          <t>TH-20</t>
        </is>
      </c>
      <c r="B28" s="31" t="inlineStr">
        <is>
          <t>D+7</t>
        </is>
      </c>
      <c r="C28" s="31" t="inlineStr">
        <is>
          <t>18/08</t>
        </is>
      </c>
      <c r="D28" s="32" t="inlineStr">
        <is>
          <t>Họp rút kinh nghiệm và cập nhật brief cho chuỗi sau</t>
        </is>
      </c>
      <c r="E28" s="33" t="inlineStr">
        <is>
          <t>Số liệu từng buổi · demo nào ăn nhất · phản đối nào lặp nhiều nhất · chỗ nào suýt gãy. Cập nhật thẳng vào brief để chuỗi sau chạy nhẹ hơn.</t>
        </is>
      </c>
      <c r="F28" s="31" t="inlineStr">
        <is>
          <t>Quan trọng</t>
        </is>
      </c>
      <c r="G28" s="34" t="inlineStr">
        <is>
          <t>AN</t>
        </is>
      </c>
      <c r="H28" s="31" t="inlineStr">
        <is>
          <t>Chưa bắt đầu</t>
        </is>
      </c>
    </row>
    <row r="29"/>
    <row r="30">
      <c r="D30" s="35" t="inlineStr">
        <is>
          <t>TIẾN ĐỘ</t>
        </is>
      </c>
      <c r="E30" s="36">
        <f>COUNTIF(H5:H28,"Xong")&amp;" / "&amp;COUNTA(H5:H28)&amp;" đầu việc đã xong"</f>
        <v/>
      </c>
    </row>
  </sheetData>
  <mergeCells count="6">
    <mergeCell ref="A1:H1"/>
    <mergeCell ref="A2:H2"/>
    <mergeCell ref="A19:H19"/>
    <mergeCell ref="A13:H13"/>
    <mergeCell ref="A5:H5"/>
    <mergeCell ref="A22:H22"/>
  </mergeCells>
  <dataValidations count="1">
    <dataValidation sqref="H6 H7 H8 H9 H10 H11 H12 H14 H15 H16 H17 H18 H20 H21 H23 H24 H25 H26 H27 H28" showDropDown="0" showInputMessage="0" showErrorMessage="0" allowBlank="1" type="list">
      <formula1>"Chưa bắt đầu,Đang làm,Xong,Đang tắc"</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6"/>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52" customWidth="1" min="3" max="3"/>
    <col width="16" customWidth="1" min="4" max="4"/>
    <col width="46" customWidth="1" min="5" max="5"/>
    <col width="14" customWidth="1" min="6" max="6"/>
  </cols>
  <sheetData>
    <row r="1" ht="22" customHeight="1">
      <c r="A1" s="10" t="inlineStr">
        <is>
          <t>RUN-OF-SHOW — QUY TRÌNH TRƯỚC · TRONG · SAU MỖI BUỔI</t>
        </is>
      </c>
    </row>
    <row r="2">
      <c r="A2" s="11" t="inlineStr">
        <is>
          <t>Khung chuẩn áp dụng cho buổi 2–5. Buổi 1 kết thúc sớm hơn (~22:00), không bán khóa, chỉ mời nâng cấp vé. In ra và dán trước mặt người trực.</t>
        </is>
      </c>
    </row>
    <row r="3"/>
    <row r="4" ht="28" customHeight="1">
      <c r="A4" s="12" t="inlineStr">
        <is>
          <t>KHUNG GIỜ</t>
        </is>
      </c>
      <c r="B4" s="12" t="inlineStr">
        <is>
          <t>PHẦN</t>
        </is>
      </c>
      <c r="C4" s="12" t="inlineStr">
        <is>
          <t>VIỆC CẦN LÀM</t>
        </is>
      </c>
      <c r="D4" s="12" t="inlineStr">
        <is>
          <t>AI LÀM</t>
        </is>
      </c>
      <c r="E4" s="12" t="inlineStr">
        <is>
          <t>LƯU Ý QUYẾT ĐỊNH THÀNH BẠI</t>
        </is>
      </c>
      <c r="F4" s="12" t="inlineStr">
        <is>
          <t>Trạng thái</t>
        </is>
      </c>
    </row>
    <row r="5" ht="20" customHeight="1">
      <c r="A5" s="37" t="inlineStr">
        <is>
          <t>TRƯỚC BUỔI — từ 18:00</t>
        </is>
      </c>
      <c r="B5" s="24" t="n"/>
      <c r="C5" s="24" t="n"/>
      <c r="D5" s="24" t="n"/>
      <c r="E5" s="24" t="n"/>
      <c r="F5" s="25" t="n"/>
    </row>
    <row r="6" ht="42" customHeight="1">
      <c r="A6" s="38" t="inlineStr">
        <is>
          <t>18:00–18:30</t>
        </is>
      </c>
      <c r="B6" s="18" t="inlineStr">
        <is>
          <t>Kiểm tra thiết bị</t>
        </is>
      </c>
      <c r="C6" s="18" t="inlineStr">
        <is>
          <t>Máy chính, máy dự phòng, micro, 2 màn hình, đường truyền chính và 4G dự phòng. Tắt mọi thông báo trên máy chia sẻ màn hình.</t>
        </is>
      </c>
      <c r="D6" s="17" t="inlineStr">
        <is>
          <t>KT/SP</t>
        </is>
      </c>
      <c r="E6" s="18" t="inlineStr">
        <is>
          <t>Một thông báo tin nhắn cá nhân hiện lên giữa demo là mất uy tín cả buổi.</t>
        </is>
      </c>
      <c r="F6" s="17" t="n"/>
    </row>
    <row r="7" ht="30" customHeight="1">
      <c r="A7" s="38" t="inlineStr">
        <is>
          <t>18:30–19:00</t>
        </is>
      </c>
      <c r="B7" s="18" t="inlineStr">
        <is>
          <t>Chạy thử demo</t>
        </is>
      </c>
      <c r="C7" s="18" t="inlineStr">
        <is>
          <t>Chạy trọn vẹn demo của buổi tối nay một lượt. Mở sẵn video dự phòng ở tab riêng.</t>
        </is>
      </c>
      <c r="D7" s="17" t="inlineStr">
        <is>
          <t>AN + KT/SP</t>
        </is>
      </c>
      <c r="E7" s="18" t="inlineStr">
        <is>
          <t>Công cụ chạy được chiều nay không đảm bảo chạy được lúc 21:05.</t>
        </is>
      </c>
      <c r="F7" s="17" t="n"/>
    </row>
    <row r="8" ht="42" customHeight="1">
      <c r="A8" s="38" t="inlineStr">
        <is>
          <t>19:00–19:30</t>
        </is>
      </c>
      <c r="B8" s="18" t="inlineStr">
        <is>
          <t>Chuẩn bị nội dung mở màn</t>
        </is>
      </c>
      <c r="C8" s="18" t="inlineStr">
        <is>
          <t>Chốt 3–5 tên học viên đã ra kết quả để đọc. Kiểm tra bộ câu hỏi mồi Q&amp;A. Kiểm tra 6 link thanh toán còn sống.</t>
        </is>
      </c>
      <c r="D8" s="17" t="inlineStr">
        <is>
          <t>KT/SP + CP</t>
        </is>
      </c>
      <c r="E8" s="18" t="inlineStr">
        <is>
          <t>Brief ghi bằng chứng từ người cùng lớp mạnh hơn case ngoài.</t>
        </is>
      </c>
      <c r="F8" s="17" t="n"/>
    </row>
    <row r="9" ht="30" customHeight="1">
      <c r="A9" s="38" t="inlineStr">
        <is>
          <t>19:30–20:00</t>
        </is>
      </c>
      <c r="B9" s="18" t="inlineStr">
        <is>
          <t>Mở phòng</t>
        </is>
      </c>
      <c r="C9" s="18" t="inlineStr">
        <is>
          <t>Chạy bumper, chào từng người vào phòng, đăng tin nhắc trong Zalo group.</t>
        </is>
      </c>
      <c r="D9" s="17" t="inlineStr">
        <is>
          <t>KT/SP</t>
        </is>
      </c>
      <c r="E9" s="18" t="inlineStr">
        <is>
          <t>Người vào sớm là người sẵn sàng mua nhất.</t>
        </is>
      </c>
      <c r="F9" s="17" t="n"/>
    </row>
    <row r="10" ht="20" customHeight="1">
      <c r="A10" s="37" t="inlineStr">
        <is>
          <t>TRONG BUỔI — 20:00 đến 22:45</t>
        </is>
      </c>
      <c r="B10" s="24" t="n"/>
      <c r="C10" s="24" t="n"/>
      <c r="D10" s="24" t="n"/>
      <c r="E10" s="24" t="n"/>
      <c r="F10" s="25" t="n"/>
    </row>
    <row r="11" ht="30" customHeight="1">
      <c r="A11" s="38" t="inlineStr">
        <is>
          <t>20:00–20:10</t>
        </is>
      </c>
      <c r="B11" s="18" t="inlineStr">
        <is>
          <t>Mở màn</t>
        </is>
      </c>
      <c r="C11" s="18" t="inlineStr">
        <is>
          <t>Điểm lại buổi trước trong 3 câu. Đọc tên 3–5 học viên đã ra kết quả. Nhắc vòng lặp đang mở.</t>
        </is>
      </c>
      <c r="D11" s="17" t="inlineStr">
        <is>
          <t>Trợ giảng</t>
        </is>
      </c>
      <c r="E11" s="18" t="inlineStr">
        <is>
          <t>An chưa lên — giữ sức cho phần demo.</t>
        </is>
      </c>
      <c r="F11" s="17" t="n"/>
    </row>
    <row r="12" ht="30" customHeight="1">
      <c r="A12" s="38" t="inlineStr">
        <is>
          <t>20:10–20:30</t>
        </is>
      </c>
      <c r="B12" s="18" t="inlineStr">
        <is>
          <t>MỞ TƯ DUY</t>
        </is>
      </c>
      <c r="C12" s="18" t="inlineStr">
        <is>
          <t>Phá đúng một niềm tin của buổi đó.</t>
        </is>
      </c>
      <c r="D12" s="17" t="inlineStr">
        <is>
          <t>AN</t>
        </is>
      </c>
      <c r="E12" s="18" t="inlineStr">
        <is>
          <t>Trial close liên tục: 'Anh chị có thấy quen không? Gõ CÓ vào chat.'</t>
        </is>
      </c>
      <c r="F12" s="17" t="n"/>
    </row>
    <row r="13" ht="30" customHeight="1">
      <c r="A13" s="38" t="inlineStr">
        <is>
          <t>20:30–21:05</t>
        </is>
      </c>
      <c r="B13" s="18" t="inlineStr">
        <is>
          <t>Nội dung lõi</t>
        </is>
      </c>
      <c r="C13" s="18" t="inlineStr">
        <is>
          <t>Phần kiến thức chính, chia 3 khối nhỏ.</t>
        </is>
      </c>
      <c r="D13" s="17" t="inlineStr">
        <is>
          <t>AN dẫn + KT thao tác</t>
        </is>
      </c>
      <c r="E13" s="18" t="inlineStr">
        <is>
          <t>Cách giữ nhịp: An kể chuyện, team bấm máy.</t>
        </is>
      </c>
      <c r="F13" s="17" t="n"/>
    </row>
    <row r="14" ht="42" customHeight="1">
      <c r="A14" s="20" t="inlineStr">
        <is>
          <t>21:05–21:35</t>
        </is>
      </c>
      <c r="B14" s="21" t="inlineStr">
        <is>
          <t>DEMO LIVE</t>
        </is>
      </c>
      <c r="C14" s="21" t="inlineStr">
        <is>
          <t>Chạy thật trên màn hình, không cắt ghép.</t>
        </is>
      </c>
      <c r="D14" s="39" t="inlineStr">
        <is>
          <t>AN</t>
        </is>
      </c>
      <c r="E14" s="21" t="inlineStr">
        <is>
          <t>Khoảnh khắc quyết định cả buổi. Nếu công cụ treo quá 60 giây, chuyển ngay sang video dự phòng — không sửa lỗi trên sóng.</t>
        </is>
      </c>
      <c r="F14" s="39" t="n"/>
    </row>
    <row r="15" ht="30" customHeight="1">
      <c r="A15" s="38" t="inlineStr">
        <is>
          <t>21:35–21:45</t>
        </is>
      </c>
      <c r="B15" s="18" t="inlineStr">
        <is>
          <t>Tổng kết + bắc cầu</t>
        </is>
      </c>
      <c r="C15" s="18" t="inlineStr">
        <is>
          <t>Ba điều rút ra. Câu chuyển: 'Cái anh chị vừa thấy mất tôi 2 năm để hiểu. Có cách đi nhanh hơn.'</t>
        </is>
      </c>
      <c r="D15" s="17" t="inlineStr">
        <is>
          <t>AN</t>
        </is>
      </c>
      <c r="E15" s="18" t="inlineStr">
        <is>
          <t>Cầu nối phải mượt. Gãy sang bán hàng đột ngột là mất phòng.</t>
        </is>
      </c>
      <c r="F15" s="17" t="n"/>
    </row>
    <row r="16" ht="42" customHeight="1">
      <c r="A16" s="20" t="inlineStr">
        <is>
          <t>21:45–22:15</t>
        </is>
      </c>
      <c r="B16" s="21" t="inlineStr">
        <is>
          <t>GIỜ SALE — trình bày offer</t>
        </is>
      </c>
      <c r="C16" s="21" t="inlineStr">
        <is>
          <t>Xếp chồng từng cấu phần, mỗi cấu phần gắn một phản đối. Cộng dồn tổng giá trị rồi mới hạ giá. Trợ giảng bắt đầu thả link thanh toán.</t>
        </is>
      </c>
      <c r="D16" s="39" t="inlineStr">
        <is>
          <t>AN + trợ giảng</t>
        </is>
      </c>
      <c r="E16" s="21" t="inlineStr">
        <is>
          <t>KHÔNG báo giá trước 22:05.</t>
        </is>
      </c>
      <c r="F16" s="39" t="n"/>
    </row>
    <row r="17" ht="42" customHeight="1">
      <c r="A17" s="20" t="inlineStr">
        <is>
          <t>22:15–22:40</t>
        </is>
      </c>
      <c r="B17" s="21" t="inlineStr">
        <is>
          <t>GIỜ SALE — Q&amp;A</t>
        </is>
      </c>
      <c r="C17" s="21" t="inlineStr">
        <is>
          <t>8–10 câu hỏi mồi xen câu thật. Nhắc deadline và số suất. Trợ giảng nhắn riêng từng người đang phân vân.</t>
        </is>
      </c>
      <c r="D17" s="39" t="inlineStr">
        <is>
          <t>AN + 3–4 trợ giảng</t>
        </is>
      </c>
      <c r="E17" s="21" t="inlineStr">
        <is>
          <t>~75% đơn xảy ra ở đây. Đây là lý do bắt buộc phải có đủ người trực.</t>
        </is>
      </c>
      <c r="F17" s="39" t="n"/>
    </row>
    <row r="18" ht="30" customHeight="1">
      <c r="A18" s="38" t="inlineStr">
        <is>
          <t>22:40–22:45</t>
        </is>
      </c>
      <c r="B18" s="18" t="inlineStr">
        <is>
          <t>Đóng</t>
        </is>
      </c>
      <c r="C18" s="18" t="inlineStr">
        <is>
          <t>Nhắc buổi sau và vòng lặp đã mở. Thả link thanh toán lần cuối.</t>
        </is>
      </c>
      <c r="D18" s="17" t="inlineStr">
        <is>
          <t>Trợ giảng</t>
        </is>
      </c>
      <c r="E18" s="18" t="inlineStr">
        <is>
          <t>Không kết thúc đột ngột — người còn phân vân sẽ rời đi luôn.</t>
        </is>
      </c>
      <c r="F18" s="17" t="n"/>
    </row>
    <row r="19" ht="20" customHeight="1">
      <c r="A19" s="37" t="inlineStr">
        <is>
          <t>SAU BUỔI — trong đêm và sáng hôm sau</t>
        </is>
      </c>
      <c r="B19" s="24" t="n"/>
      <c r="C19" s="24" t="n"/>
      <c r="D19" s="24" t="n"/>
      <c r="E19" s="24" t="n"/>
      <c r="F19" s="25" t="n"/>
    </row>
    <row r="20" ht="30" customHeight="1">
      <c r="A20" s="38" t="inlineStr">
        <is>
          <t>22:45–23:15</t>
        </is>
      </c>
      <c r="B20" s="18" t="inlineStr">
        <is>
          <t>Chốt nốt</t>
        </is>
      </c>
      <c r="C20" s="18" t="inlineStr">
        <is>
          <t>Nhắn riêng toàn bộ người đã hỏi giá nhưng chưa chuyển khoản. Ghi nhận lý do vướng.</t>
        </is>
      </c>
      <c r="D20" s="17" t="inlineStr">
        <is>
          <t>Trợ giảng</t>
        </is>
      </c>
      <c r="E20" s="18" t="inlineStr">
        <is>
          <t>Cửa sổ nóng nhất chỉ kéo dài khoảng 30 phút sau khi tắt sóng.</t>
        </is>
      </c>
      <c r="F20" s="17" t="n"/>
    </row>
    <row r="21" ht="30" customHeight="1">
      <c r="A21" s="38" t="inlineStr">
        <is>
          <t>23:15–23:45</t>
        </is>
      </c>
      <c r="B21" s="18" t="inlineStr">
        <is>
          <t>Xuất dữ liệu</t>
        </is>
      </c>
      <c r="C21" s="18" t="inlineStr">
        <is>
          <t>Tải record · xuất danh sách người dự và thời lượng xem · xuất log chat.</t>
        </is>
      </c>
      <c r="D21" s="17" t="inlineStr">
        <is>
          <t>KT/SP</t>
        </is>
      </c>
      <c r="E21" s="18" t="inlineStr">
        <is>
          <t>Record giao EDIT trước 8h sáng, danh sách giao ADS, log chat giao CP.</t>
        </is>
      </c>
      <c r="F21" s="17" t="n"/>
    </row>
    <row r="22" ht="30" customHeight="1">
      <c r="A22" s="38" t="inlineStr">
        <is>
          <t>Trước 09:00</t>
        </is>
      </c>
      <c r="B22" s="18" t="inlineStr">
        <is>
          <t>Gửi tổng kết</t>
        </is>
      </c>
      <c r="C22" s="18" t="inlineStr">
        <is>
          <t>Gửi tin tổng kết vào Zalo group, kèm bài tập và link record cho vé trả phí.</t>
        </is>
      </c>
      <c r="D22" s="17" t="inlineStr">
        <is>
          <t>KT/SP</t>
        </is>
      </c>
      <c r="E22" s="18" t="inlineStr">
        <is>
          <t>Bài tập là thứ giữ người quay lại buổi kế.</t>
        </is>
      </c>
      <c r="F22" s="17" t="n"/>
    </row>
    <row r="23" ht="30" customHeight="1">
      <c r="A23" s="38" t="inlineStr">
        <is>
          <t>Trước 11:00</t>
        </is>
      </c>
      <c r="B23" s="18" t="inlineStr">
        <is>
          <t>Highlight</t>
        </is>
      </c>
      <c r="C23" s="18" t="inlineStr">
        <is>
          <t>Giao 2–3 clip highlight cho CP viết caption.</t>
        </is>
      </c>
      <c r="D23" s="17" t="inlineStr">
        <is>
          <t>EDIT</t>
        </is>
      </c>
      <c r="E23" s="18" t="inlineStr">
        <is>
          <t>Trễ là mất nhịp nội dung cả ngày.</t>
        </is>
      </c>
      <c r="F23" s="17" t="n"/>
    </row>
    <row r="24" ht="30" customHeight="1">
      <c r="A24" s="38" t="inlineStr">
        <is>
          <t>Trước 12:00</t>
        </is>
      </c>
      <c r="B24" s="18" t="inlineStr">
        <is>
          <t>Bài recap</t>
        </is>
      </c>
      <c r="C24" s="18" t="inlineStr">
        <is>
          <t>Đăng bài recap + mở vòng lặp cho buổi tối nay.</t>
        </is>
      </c>
      <c r="D24" s="17" t="inlineStr">
        <is>
          <t>CP</t>
        </is>
      </c>
      <c r="E24" s="18" t="n"/>
      <c r="F24" s="17" t="n"/>
    </row>
    <row r="25" ht="30" customHeight="1">
      <c r="A25" s="38" t="inlineStr">
        <is>
          <t>Trong ngày</t>
        </is>
      </c>
      <c r="B25" s="18" t="inlineStr">
        <is>
          <t>Retarget</t>
        </is>
      </c>
      <c r="C25" s="18" t="inlineStr">
        <is>
          <t>Tạo custom audience từ danh sách người dự, bật quảng cáo bán gói vừa mở.</t>
        </is>
      </c>
      <c r="D25" s="17" t="inlineStr">
        <is>
          <t>ADS</t>
        </is>
      </c>
      <c r="E25" s="18" t="inlineStr">
        <is>
          <t>Làm ngay trong ngày, không để nguội.</t>
        </is>
      </c>
      <c r="F25" s="17" t="n"/>
    </row>
    <row r="26" ht="30" customHeight="1">
      <c r="A26" s="38" t="inlineStr">
        <is>
          <t>Trong 24 giờ</t>
        </is>
      </c>
      <c r="B26" s="18" t="inlineStr">
        <is>
          <t>Gọi lại</t>
        </is>
      </c>
      <c r="C26" s="18" t="inlineStr">
        <is>
          <t>Gọi danh sách quan tâm chưa chốt.</t>
        </is>
      </c>
      <c r="D26" s="17" t="inlineStr">
        <is>
          <t>Trợ giảng</t>
        </is>
      </c>
      <c r="E26" s="18" t="inlineStr">
        <is>
          <t>Sau 72 giờ lead webinar gần như mất giá trị.</t>
        </is>
      </c>
      <c r="F26" s="17" t="n"/>
    </row>
  </sheetData>
  <mergeCells count="3">
    <mergeCell ref="A19:F19"/>
    <mergeCell ref="A5:F5"/>
    <mergeCell ref="A10:F10"/>
  </mergeCells>
  <dataValidations count="1">
    <dataValidation sqref="F6 F7 F8 F9 F11 F12 F13 F14 F15 F16 F17 F18 F20 F21 F22 F23 F24 F25 F26" showDropDown="0" showInputMessage="0" showErrorMessage="0" allowBlank="1" type="list">
      <formula1>"Chưa bắt đầu,Đang làm,Xong,Đang tắc"</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1"/>
  <sheetViews>
    <sheetView showGridLines="0" workbookViewId="0">
      <pane ySplit="5" topLeftCell="A6" activePane="bottomLeft" state="frozen"/>
      <selection pane="bottomLeft" activeCell="A1" sqref="A1"/>
    </sheetView>
  </sheetViews>
  <sheetFormatPr baseColWidth="8" defaultRowHeight="15"/>
  <cols>
    <col width="10" customWidth="1" min="1" max="1"/>
    <col width="12" customWidth="1" min="2" max="2"/>
    <col width="52" customWidth="1" min="3" max="3"/>
    <col width="20" customWidth="1" min="4" max="4"/>
    <col width="60" customWidth="1" min="5" max="5"/>
    <col width="15" customWidth="1" min="6" max="6"/>
  </cols>
  <sheetData>
    <row r="1" ht="22" customHeight="1">
      <c r="A1" s="40" t="inlineStr">
        <is>
          <t>DANH SÁCH VIỆC CHẶN — ĐIỂM DANH 5 PHÚT MỖI SÁNG</t>
        </is>
      </c>
    </row>
    <row r="2">
      <c r="A2" s="2" t="inlineStr">
        <is>
          <t>Việc trong bảng này thiếu thì buổi học hoặc phễu bán hàng sập. Không có việc nào ở đây được phép trôi sang ngày hôm sau mà không có lý do.</t>
        </is>
      </c>
    </row>
    <row r="3">
      <c r="A3" s="41" t="inlineStr">
        <is>
          <t>Nguồn: sheet '4. Chuẩn bị' trong Demo_Brief_5_Buoi.xlsx, đã bổ sung deadline và bộ phận phụ trách.</t>
        </is>
      </c>
    </row>
    <row r="4"/>
    <row r="5" ht="26" customHeight="1">
      <c r="A5" s="42" t="inlineStr">
        <is>
          <t>MÃ</t>
        </is>
      </c>
      <c r="B5" s="42" t="inlineStr">
        <is>
          <t>HẠN CHÓT</t>
        </is>
      </c>
      <c r="C5" s="42" t="inlineStr">
        <is>
          <t>TÀI SẢN / VIỆC BẮT BUỘC CÓ</t>
        </is>
      </c>
      <c r="D5" s="42" t="inlineStr">
        <is>
          <t>BỘ PHẬN</t>
        </is>
      </c>
      <c r="E5" s="42" t="inlineStr">
        <is>
          <t>RỦI RO NẾU THIẾU</t>
        </is>
      </c>
      <c r="F5" s="42" t="inlineStr">
        <is>
          <t>Trạng thái</t>
        </is>
      </c>
    </row>
    <row r="6" ht="28" customHeight="1">
      <c r="A6" s="43" t="inlineStr">
        <is>
          <t>ADS-02</t>
        </is>
      </c>
      <c r="B6" s="43" t="inlineStr">
        <is>
          <t>29/07 (D-13)</t>
        </is>
      </c>
      <c r="C6" s="44" t="inlineStr">
        <is>
          <t>Tracking đầy đủ: UTM · Meta Pixel · GA4 · sự kiện server-side · tag CRM và Zalo</t>
        </is>
      </c>
      <c r="D6" s="43" t="inlineStr">
        <is>
          <t>ADS</t>
        </is>
      </c>
      <c r="E6" s="45" t="inlineStr">
        <is>
          <t>Chạy 30–100 triệu quảng cáo mà không biết tiền đi đâu. Audit kênh ghi hiện trạng là 'không đo gì cả'</t>
        </is>
      </c>
      <c r="F6" s="43" t="inlineStr">
        <is>
          <t>Chưa bắt đầu</t>
        </is>
      </c>
    </row>
    <row r="7" ht="28" customHeight="1">
      <c r="A7" s="46" t="inlineStr">
        <is>
          <t>KT-01</t>
        </is>
      </c>
      <c r="B7" s="46" t="inlineStr">
        <is>
          <t>29/07 (D-13)</t>
        </is>
      </c>
      <c r="C7" s="27" t="inlineStr">
        <is>
          <t>Gói Zoom đủ tải cho 1.000–3.000 người</t>
        </is>
      </c>
      <c r="D7" s="46" t="inlineStr">
        <is>
          <t>KT/SP</t>
        </is>
      </c>
      <c r="E7" s="28" t="inlineStr">
        <is>
          <t>Phòng đầy giữa buổi bán 12 triệu là mất trắng buổi đó</t>
        </is>
      </c>
      <c r="F7" s="46" t="inlineStr">
        <is>
          <t>Chưa bắt đầu</t>
        </is>
      </c>
    </row>
    <row r="8" ht="28" customHeight="1">
      <c r="A8" s="43" t="inlineStr">
        <is>
          <t>KT-02</t>
        </is>
      </c>
      <c r="B8" s="43" t="inlineStr">
        <is>
          <t>30/07 (D-12)</t>
        </is>
      </c>
      <c r="C8" s="44" t="inlineStr">
        <is>
          <t>Landing 3 hạng vé + cổng thanh toán + trang cảm ơn đẩy vào Zalo</t>
        </is>
      </c>
      <c r="D8" s="43" t="inlineStr">
        <is>
          <t>KT/SP</t>
        </is>
      </c>
      <c r="E8" s="45" t="inlineStr">
        <is>
          <t>Không có nơi bán vé, không thu được dữ liệu</t>
        </is>
      </c>
      <c r="F8" s="43" t="inlineStr">
        <is>
          <t>Chưa bắt đầu</t>
        </is>
      </c>
    </row>
    <row r="9" ht="28" customHeight="1">
      <c r="A9" s="46" t="inlineStr">
        <is>
          <t>TH-08</t>
        </is>
      </c>
      <c r="B9" s="46" t="inlineStr">
        <is>
          <t>30/07 (D-12)</t>
        </is>
      </c>
      <c r="C9" s="27" t="inlineStr">
        <is>
          <t>DEMO dựng agent trong 8 phút — chạy thật, có phương án B</t>
        </is>
      </c>
      <c r="D9" s="46" t="inlineStr">
        <is>
          <t>AN</t>
        </is>
      </c>
      <c r="E9" s="28" t="inlineStr">
        <is>
          <t>Buổi 2 mất khoảnh khắc quyết định, tỷ lệ chốt sụp</t>
        </is>
      </c>
      <c r="F9" s="46" t="inlineStr">
        <is>
          <t>Chưa bắt đầu</t>
        </is>
      </c>
    </row>
    <row r="10" ht="28" customHeight="1">
      <c r="A10" s="43" t="inlineStr">
        <is>
          <t>KT-03</t>
        </is>
      </c>
      <c r="B10" s="43" t="inlineStr">
        <is>
          <t>31/07 (D-11)</t>
        </is>
      </c>
      <c r="C10" s="44" t="inlineStr">
        <is>
          <t>Cổng thanh toán xử lý được nâng cấp — khách trả phần chênh 5 → 9 → 11 → 19</t>
        </is>
      </c>
      <c r="D10" s="43" t="inlineStr">
        <is>
          <t>KT/SP</t>
        </is>
      </c>
      <c r="E10" s="45" t="inlineStr">
        <is>
          <t>Toàn bộ cơ chế combo sụp. Người mua sớm thành nhóm hối tiếc</t>
        </is>
      </c>
      <c r="F10" s="43" t="inlineStr">
        <is>
          <t>Chưa bắt đầu</t>
        </is>
      </c>
    </row>
    <row r="11" ht="28" customHeight="1">
      <c r="A11" s="46" t="inlineStr">
        <is>
          <t>KT-05</t>
        </is>
      </c>
      <c r="B11" s="46" t="inlineStr">
        <is>
          <t>02/08 (D-9)</t>
        </is>
      </c>
      <c r="C11" s="27" t="inlineStr">
        <is>
          <t>Poll Zoom phân loại 4 cấp độ cho buổi 1</t>
        </is>
      </c>
      <c r="D11" s="46" t="inlineStr">
        <is>
          <t>KT/SP</t>
        </is>
      </c>
      <c r="E11" s="28" t="inlineStr">
        <is>
          <t>Mất dữ liệu phân tệp quý nhất cả chuỗi</t>
        </is>
      </c>
      <c r="F11" s="46" t="inlineStr">
        <is>
          <t>Chưa bắt đầu</t>
        </is>
      </c>
    </row>
    <row r="12" ht="28" customHeight="1">
      <c r="A12" s="43" t="inlineStr">
        <is>
          <t>TH-09</t>
        </is>
      </c>
      <c r="B12" s="43" t="inlineStr">
        <is>
          <t>02/08 (D-9)</t>
        </is>
      </c>
      <c r="C12" s="44" t="inlineStr">
        <is>
          <t>DEMO dựng mini app từ 0 đến link chạy được</t>
        </is>
      </c>
      <c r="D12" s="43" t="inlineStr">
        <is>
          <t>AN</t>
        </is>
      </c>
      <c r="E12" s="45" t="inlineStr">
        <is>
          <t>Mất bằng chứng cho lời hứa 'không cần biết code'</t>
        </is>
      </c>
      <c r="F12" s="43" t="inlineStr">
        <is>
          <t>Chưa bắt đầu</t>
        </is>
      </c>
    </row>
    <row r="13" ht="28" customHeight="1">
      <c r="A13" s="46" t="inlineStr">
        <is>
          <t>KT-06</t>
        </is>
      </c>
      <c r="B13" s="46" t="inlineStr">
        <is>
          <t>03/08 (D-8)</t>
        </is>
      </c>
      <c r="C13" s="27" t="inlineStr">
        <is>
          <t>Chính sách hoàn tiền vé + hóa đơn VAT bằng văn bản</t>
        </is>
      </c>
      <c r="D13" s="46" t="inlineStr">
        <is>
          <t>KT/SP</t>
        </is>
      </c>
      <c r="E13" s="28" t="inlineStr">
        <is>
          <t>Tệp chủ doanh nghiệp hỏi ngay trong buổi. Không trả lời được là mất deal tại chỗ</t>
        </is>
      </c>
      <c r="F13" s="46" t="inlineStr">
        <is>
          <t>Chưa bắt đầu</t>
        </is>
      </c>
    </row>
    <row r="14" ht="28" customHeight="1">
      <c r="A14" s="43" t="inlineStr">
        <is>
          <t>KT-07</t>
        </is>
      </c>
      <c r="B14" s="43" t="inlineStr">
        <is>
          <t>03/08 (D-8)</t>
        </is>
      </c>
      <c r="C14" s="44" t="inlineStr">
        <is>
          <t>Chính sách khi khách ngừng trả phí công cụ — bằng văn bản, ghi vào hợp đồng</t>
        </is>
      </c>
      <c r="D14" s="43" t="inlineStr">
        <is>
          <t>KT/SP</t>
        </is>
      </c>
      <c r="E14" s="45" t="inlineStr">
        <is>
          <t>Câu hỏi chắc chắn xuất hiện ở buổi 5. Ứng biến trên sóng là mất uy tín</t>
        </is>
      </c>
      <c r="F14" s="43" t="inlineStr">
        <is>
          <t>Chưa bắt đầu</t>
        </is>
      </c>
    </row>
    <row r="15" ht="28" customHeight="1">
      <c r="A15" s="46" t="inlineStr">
        <is>
          <t>TH-13</t>
        </is>
      </c>
      <c r="B15" s="46" t="inlineStr">
        <is>
          <t>03/08 (D-8)</t>
        </is>
      </c>
      <c r="C15" s="27" t="inlineStr">
        <is>
          <t>CASE STUDY sản phẩm số CÓ SỐ (buổi 3)</t>
        </is>
      </c>
      <c r="D15" s="46" t="inlineStr">
        <is>
          <t>AN</t>
        </is>
      </c>
      <c r="E15" s="28" t="inlineStr">
        <is>
          <t>Phần chốt buổi 3 thiếu chân đứng. BRIEF GHI: HIỆN CHƯA CÓ</t>
        </is>
      </c>
      <c r="F15" s="46" t="inlineStr">
        <is>
          <t>Chưa bắt đầu</t>
        </is>
      </c>
    </row>
    <row r="16" ht="28" customHeight="1">
      <c r="A16" s="43" t="inlineStr">
        <is>
          <t>SP-03</t>
        </is>
      </c>
      <c r="B16" s="43" t="inlineStr">
        <is>
          <t>04/08 (D-7)</t>
        </is>
      </c>
      <c r="C16" s="44" t="inlineStr">
        <is>
          <t>Chuỗi nhắc lịch ZNS và SMS: T−24h · T−1h · T−10 phút cho cả 5 buổi</t>
        </is>
      </c>
      <c r="D16" s="43" t="inlineStr">
        <is>
          <t>KT/SP + CP</t>
        </is>
      </c>
      <c r="E16" s="45" t="inlineStr">
        <is>
          <t>Show rate sụp — mọi thứ phía sau nhân với 0</t>
        </is>
      </c>
      <c r="F16" s="43" t="inlineStr">
        <is>
          <t>Chưa bắt đầu</t>
        </is>
      </c>
    </row>
    <row r="17" ht="28" customHeight="1">
      <c r="A17" s="46" t="inlineStr">
        <is>
          <t>CP-10</t>
        </is>
      </c>
      <c r="B17" s="46" t="inlineStr">
        <is>
          <t>04/08 (D-7)</t>
        </is>
      </c>
      <c r="C17" s="27" t="inlineStr">
        <is>
          <t>Bộ 8–10 câu hỏi mồi Q&amp;A cho mỗi buổi</t>
        </is>
      </c>
      <c r="D17" s="46" t="inlineStr">
        <is>
          <t>CP</t>
        </is>
      </c>
      <c r="E17" s="28" t="inlineStr">
        <is>
          <t>75% đơn xảy ra ở Q&amp;A. Không chuẩn bị là bỏ phí</t>
        </is>
      </c>
      <c r="F17" s="46" t="inlineStr">
        <is>
          <t>Chưa bắt đầu</t>
        </is>
      </c>
    </row>
    <row r="18" ht="28" customHeight="1">
      <c r="A18" s="43" t="inlineStr">
        <is>
          <t>TH-10</t>
        </is>
      </c>
      <c r="B18" s="43" t="inlineStr">
        <is>
          <t>04/08 (D-7)</t>
        </is>
      </c>
      <c r="C18" s="44" t="inlineStr">
        <is>
          <t>DEMO dây chuyền Genful chạy thật từ ý tưởng đến video hoàn chỉnh</t>
        </is>
      </c>
      <c r="D18" s="43" t="inlineStr">
        <is>
          <t>AN</t>
        </is>
      </c>
      <c r="E18" s="45" t="inlineStr">
        <is>
          <t>Demo mạnh nhất về thị giác cả chuỗi. Thiếu là mất buổi 4</t>
        </is>
      </c>
      <c r="F18" s="43" t="inlineStr">
        <is>
          <t>Chưa bắt đầu</t>
        </is>
      </c>
    </row>
    <row r="19" ht="28" customHeight="1">
      <c r="A19" s="46" t="inlineStr">
        <is>
          <t>SP-04</t>
        </is>
      </c>
      <c r="B19" s="46" t="inlineStr">
        <is>
          <t>05/08 (D-6)</t>
        </is>
      </c>
      <c r="C19" s="27" t="inlineStr">
        <is>
          <t>3–4 trợ giảng trực Zalo chốt song song mỗi buổi</t>
        </is>
      </c>
      <c r="D19" s="46" t="inlineStr">
        <is>
          <t>KT/SP</t>
        </is>
      </c>
      <c r="E19" s="28" t="inlineStr">
        <is>
          <t>An đang dạy thì không ai chốt. Mất phần lớn đơn. HIỆN CHỈ CÓ 1 NGƯỜI</t>
        </is>
      </c>
      <c r="F19" s="46" t="inlineStr">
        <is>
          <t>Chưa bắt đầu</t>
        </is>
      </c>
    </row>
    <row r="20" ht="28" customHeight="1">
      <c r="A20" s="43" t="inlineStr">
        <is>
          <t>CP-11</t>
        </is>
      </c>
      <c r="B20" s="43" t="inlineStr">
        <is>
          <t>05/08 (D-6)</t>
        </is>
      </c>
      <c r="C20" s="44" t="inlineStr">
        <is>
          <t>Kịch bản xử lý 5 phản đối cho trợ giảng</t>
        </is>
      </c>
      <c r="D20" s="43" t="inlineStr">
        <is>
          <t>CP</t>
        </is>
      </c>
      <c r="E20" s="45" t="inlineStr">
        <is>
          <t>Trợ giảng không chốt được, mọi thứ dồn lên An</t>
        </is>
      </c>
      <c r="F20" s="43" t="inlineStr">
        <is>
          <t>Chưa bắt đầu</t>
        </is>
      </c>
    </row>
    <row r="21" ht="28" customHeight="1">
      <c r="A21" s="46" t="inlineStr">
        <is>
          <t>TH-14</t>
        </is>
      </c>
      <c r="B21" s="46" t="inlineStr">
        <is>
          <t>05/08 (D-6)</t>
        </is>
      </c>
      <c r="C21" s="27" t="inlineStr">
        <is>
          <t>CASE STUDY kênh AI CÓ SỐ (buổi 4)</t>
        </is>
      </c>
      <c r="D21" s="46" t="inlineStr">
        <is>
          <t>AN</t>
        </is>
      </c>
      <c r="E21" s="28" t="inlineStr">
        <is>
          <t>Phần chốt buổi 4 thiếu chân đứng. BRIEF GHI: HIỆN CHƯA CÓ</t>
        </is>
      </c>
      <c r="F21" s="46" t="inlineStr">
        <is>
          <t>Chưa bắt đầu</t>
        </is>
      </c>
    </row>
    <row r="22" ht="28" customHeight="1">
      <c r="A22" s="43" t="inlineStr">
        <is>
          <t>TH-11</t>
        </is>
      </c>
      <c r="B22" s="43" t="inlineStr">
        <is>
          <t>06/08 (D-5)</t>
        </is>
      </c>
      <c r="C22" s="44" t="inlineStr">
        <is>
          <t>CO-FOUNDER AGENT ĐÃ BUILD XONG, demo được live</t>
        </is>
      </c>
      <c r="D22" s="43" t="inlineStr">
        <is>
          <t>AN</t>
        </is>
      </c>
      <c r="E22" s="45" t="inlineStr">
        <is>
          <t>RỦI RO LỚN NHẤT CẢ PHỄU. Buổi đắt nhất sập nếu demo không chạy</t>
        </is>
      </c>
      <c r="F22" s="43" t="inlineStr">
        <is>
          <t>Chưa bắt đầu</t>
        </is>
      </c>
    </row>
    <row r="23" ht="28" customHeight="1">
      <c r="A23" s="46" t="inlineStr">
        <is>
          <t>CP-13</t>
        </is>
      </c>
      <c r="B23" s="46" t="inlineStr">
        <is>
          <t>07/08 (D-4)</t>
        </is>
      </c>
      <c r="C23" s="27" t="inlineStr">
        <is>
          <t>Nội dung công bố cơ chế nâng cấp 48 giờ, khớp tuyệt đối với lời nói trên sóng</t>
        </is>
      </c>
      <c r="D23" s="46" t="inlineStr">
        <is>
          <t>CP</t>
        </is>
      </c>
      <c r="E23" s="28" t="inlineStr">
        <is>
          <t>Sai một chữ về cơ chế giá là mất niềm tin của người mua sớm</t>
        </is>
      </c>
      <c r="F23" s="46" t="inlineStr">
        <is>
          <t>Chưa bắt đầu</t>
        </is>
      </c>
    </row>
    <row r="24" ht="28" customHeight="1">
      <c r="A24" s="43" t="inlineStr">
        <is>
          <t>KT-09</t>
        </is>
      </c>
      <c r="B24" s="43" t="inlineStr">
        <is>
          <t>07/08 (D-4)</t>
        </is>
      </c>
      <c r="C24" s="44" t="inlineStr">
        <is>
          <t>Bộ 12 agent mẫu (quà tặng) đóng gói cài được bằng một cú nhấn</t>
        </is>
      </c>
      <c r="D24" s="43" t="inlineStr">
        <is>
          <t>KT/SP</t>
        </is>
      </c>
      <c r="E24" s="45" t="inlineStr">
        <is>
          <t>Không giao được quà đã hứa, và không cài tay nổi cho hàng trăm học viên</t>
        </is>
      </c>
      <c r="F24" s="43" t="inlineStr">
        <is>
          <t>Chưa bắt đầu</t>
        </is>
      </c>
    </row>
    <row r="25" ht="28" customHeight="1">
      <c r="A25" s="46" t="inlineStr">
        <is>
          <t>TH-06</t>
        </is>
      </c>
      <c r="B25" s="46" t="inlineStr">
        <is>
          <t>07/08 (D-4)</t>
        </is>
      </c>
      <c r="C25" s="27" t="inlineStr">
        <is>
          <t>Bản đồ 90 ngày: template trình bày + cơ chế cá nhân hóa từ form</t>
        </is>
      </c>
      <c r="D25" s="46" t="inlineStr">
        <is>
          <t>AN</t>
        </is>
      </c>
      <c r="E25" s="28" t="inlineStr">
        <is>
          <t>Mất cơ chế lọc tệp kim cương sang Solution và Elite</t>
        </is>
      </c>
      <c r="F25" s="46" t="inlineStr">
        <is>
          <t>Chưa bắt đầu</t>
        </is>
      </c>
    </row>
    <row r="26" ht="28" customHeight="1">
      <c r="A26" s="43" t="inlineStr">
        <is>
          <t>KT-10</t>
        </is>
      </c>
      <c r="B26" s="43" t="inlineStr">
        <is>
          <t>09/08 (D-2)</t>
        </is>
      </c>
      <c r="C26" s="44" t="inlineStr">
        <is>
          <t>Diễn tập kỹ thuật đầy đủ trên đường truyền thật</t>
        </is>
      </c>
      <c r="D26" s="43" t="inlineStr">
        <is>
          <t>KT/SP + AN</t>
        </is>
      </c>
      <c r="E26" s="45" t="inlineStr">
        <is>
          <t>Lỗi phát hiện lúc đang live thì không còn thời gian sửa</t>
        </is>
      </c>
      <c r="F26" s="43" t="inlineStr">
        <is>
          <t>Chưa bắt đầu</t>
        </is>
      </c>
    </row>
    <row r="27" ht="28" customHeight="1">
      <c r="A27" s="46" t="inlineStr">
        <is>
          <t>KT-11</t>
        </is>
      </c>
      <c r="B27" s="46" t="inlineStr">
        <is>
          <t>09/08 (D-2)</t>
        </is>
      </c>
      <c r="C27" s="27" t="inlineStr">
        <is>
          <t>Phương án B cho mọi demo: máy dự phòng · 4G · video quay sẵn</t>
        </is>
      </c>
      <c r="D27" s="46" t="inlineStr">
        <is>
          <t>KT/SP</t>
        </is>
      </c>
      <c r="E27" s="28" t="inlineStr">
        <is>
          <t>Công cụ treo trên sóng mà không có đường lùi là mất cả buổi</t>
        </is>
      </c>
      <c r="F27" s="46" t="inlineStr">
        <is>
          <t>Chưa bắt đầu</t>
        </is>
      </c>
    </row>
    <row r="28" ht="28" customHeight="1">
      <c r="A28" s="43" t="inlineStr">
        <is>
          <t>ED-12</t>
        </is>
      </c>
      <c r="B28" s="43" t="inlineStr">
        <is>
          <t>12/08 (D+1)</t>
        </is>
      </c>
      <c r="C28" s="44" t="inlineStr">
        <is>
          <t>Full record giao vé 199K và 499K trong 12 giờ sau mỗi buổi</t>
        </is>
      </c>
      <c r="D28" s="43" t="inlineStr">
        <is>
          <t>EDIT</t>
        </is>
      </c>
      <c r="E28" s="45" t="inlineStr">
        <is>
          <t>Thất hứa với người đã trả tiền, thành khiếu nại ngay trong tuần live</t>
        </is>
      </c>
      <c r="F28" s="43" t="inlineStr">
        <is>
          <t>Chưa bắt đầu</t>
        </is>
      </c>
    </row>
    <row r="29" ht="28" customHeight="1">
      <c r="A29" s="46" t="inlineStr">
        <is>
          <t>SP-15</t>
        </is>
      </c>
      <c r="B29" s="46" t="inlineStr">
        <is>
          <t>16/08 (D+5)</t>
        </is>
      </c>
      <c r="C29" s="27" t="inlineStr">
        <is>
          <t>Một người có tên xử lý form kim cương trong 24 giờ</t>
        </is>
      </c>
      <c r="D29" s="46" t="inlineStr">
        <is>
          <t>KT/SP</t>
        </is>
      </c>
      <c r="E29" s="28" t="inlineStr">
        <is>
          <t>Sau 72 giờ lead webinar gần như mất giá trị</t>
        </is>
      </c>
      <c r="F29" s="46" t="inlineStr">
        <is>
          <t>Chưa bắt đầu</t>
        </is>
      </c>
    </row>
    <row r="30"/>
    <row r="31">
      <c r="C31" s="35" t="inlineStr">
        <is>
          <t>SỐ VIỆC CHẶN ĐÃ XONG</t>
        </is>
      </c>
      <c r="E31" s="47">
        <f>COUNTIF(F6:F29,"Xong")&amp;" / "&amp;COUNTA(A6:A29)</f>
        <v/>
      </c>
    </row>
  </sheetData>
  <dataValidations count="1">
    <dataValidation sqref="F6 F7 F8 F9 F10 F11 F12 F13 F14 F15 F16 F17 F18 F19 F20 F21 F22 F23 F24 F25 F26 F27 F28 F29" showDropDown="0" showInputMessage="0" showErrorMessage="0" allowBlank="1" type="list">
      <formula1>"Chưa bắt đầu,Đang làm,Xong,Đang tắc"</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
  <sheetViews>
    <sheetView showGridLines="0" workbookViewId="0">
      <selection activeCell="A1" sqref="A1"/>
    </sheetView>
  </sheetViews>
  <sheetFormatPr baseColWidth="8" defaultRowHeight="15"/>
  <cols>
    <col width="4" customWidth="1" min="1" max="1"/>
    <col width="26" customWidth="1" min="2" max="2"/>
    <col width="44" customWidth="1" min="3" max="3"/>
    <col width="46" customWidth="1" min="4" max="4"/>
    <col width="22" customWidth="1" min="5" max="5"/>
  </cols>
  <sheetData>
    <row r="1" ht="22" customHeight="1">
      <c r="B1" s="40" t="inlineStr">
        <is>
          <t>LỖ HỔNG NGUỒN LỰC — ĐỌC TRƯỚC KHI PHÂN VIỆC</t>
        </is>
      </c>
    </row>
    <row r="2">
      <c r="B2" s="2" t="inlineStr">
        <is>
          <t>Đối chiếu khối lượng công việc trong checklist với 4 nhân sự hiện có (CP · ADS · EDIT · KT/SP) cộng An. Đây là những chỗ kế hoạch sẽ gãy nếu không xử lý trước.</t>
        </is>
      </c>
    </row>
    <row r="3"/>
    <row r="4" ht="26" customHeight="1">
      <c r="B4" s="12" t="inlineStr">
        <is>
          <t>LỖ HỔNG</t>
        </is>
      </c>
      <c r="C4" s="12" t="inlineStr">
        <is>
          <t>VÌ SAO ĐÂY LÀ VẤN ĐỀ</t>
        </is>
      </c>
      <c r="D4" s="12" t="inlineStr">
        <is>
          <t>PHƯƠNG ÁN XỬ LÝ</t>
        </is>
      </c>
      <c r="E4" s="12" t="inlineStr">
        <is>
          <t>HẠN QUYẾT ĐỊNH</t>
        </is>
      </c>
    </row>
    <row r="5" ht="68" customHeight="1">
      <c r="B5" s="48" t="inlineStr">
        <is>
          <t>Thiếu 2–3 trợ giảng chốt đơn</t>
        </is>
      </c>
      <c r="C5" s="49" t="inlineStr">
        <is>
          <t>Brief yêu cầu 3–4 người trực Zalo mỗi buổi và ghi rõ ~75% đơn xảy ra ở phần Q&amp;A. Hiện chỉ có 1 người, người đó còn kiêm toàn bộ kỹ thuật — trong lúc đang thao tác demo cho An thì không thể nhắn tin chốt đơn.</t>
        </is>
      </c>
      <c r="D5" s="49" t="inlineStr">
        <is>
          <t>Huy động 2–3 người từ bộ phận khác hoặc thuê ngoài theo buổi. Không cần chuyên môn AI sâu, chỉ cần thuộc bảng giá, cơ chế nâng cấp và 5 kịch bản phản đối. Tập một buổi trước D-2.</t>
        </is>
      </c>
      <c r="E5" s="50" t="inlineStr">
        <is>
          <t>D-6 · 05/08</t>
        </is>
      </c>
    </row>
    <row r="6" ht="68" customHeight="1">
      <c r="B6" s="51" t="inlineStr">
        <is>
          <t>Một người kiêm cả kỹ thuật lẫn chăm sóc học viên</t>
        </is>
      </c>
      <c r="C6" s="52" t="inlineStr">
        <is>
          <t>Sheet 06 và sheet 05 đều dồn lên KT/SP. Trong khung 21:05–21:35 người này phải thao tác demo theo lời An, cùng lúc sheet 05 yêu cầu trực chat và đẩy câu hỏi. Một người không làm được hai việc này cùng lúc.</t>
        </is>
      </c>
      <c r="D6" s="52" t="inlineStr">
        <is>
          <t>Tách vai: người trực kỹ thuật chỉ lo máy móc và demo · người trực truyền thông lo chat, Zalo, chốt đơn. Nếu không tách được, ưu tiên kỹ thuật và giao phần chăm sóc cho trợ giảng bổ sung.</t>
        </is>
      </c>
      <c r="E6" s="53" t="inlineStr">
        <is>
          <t>D-6 · 05/08</t>
        </is>
      </c>
    </row>
    <row r="7" ht="68" customHeight="1">
      <c r="B7" s="48" t="inlineStr">
        <is>
          <t>Hai case study có số hiện chưa có</t>
        </is>
      </c>
      <c r="C7" s="49" t="inlineStr">
        <is>
          <t>Brief ghi rõ case study sản phẩm số (buổi 3) và case study kênh AI (buổi 4) HIỆN CHƯA CÓ. Đây là chân đứng cho phần chốt hai buổi bán 5–11 triệu.</t>
        </is>
      </c>
      <c r="D7" s="49" t="inlineStr">
        <is>
          <t>Ba đường: (1) lấy số thật từ khách hàng Demo đã triển khai, xin phép công bố · (2) dùng chính số của team Demo · (3) nếu không kịp, đổi sang demo trực tiếp có số đo được ngay trên màn hình thay vì case quá khứ.</t>
        </is>
      </c>
      <c r="E7" s="50" t="inlineStr">
        <is>
          <t>D-8 · 03/08</t>
        </is>
      </c>
    </row>
    <row r="8" ht="68" customHeight="1">
      <c r="B8" s="51" t="inlineStr">
        <is>
          <t>Co-Founder Agent chưa xác nhận build xong</t>
        </is>
      </c>
      <c r="C8" s="52" t="inlineStr">
        <is>
          <t>Buổi 5 bán gói 12 triệu và trọn bộ 19 triệu — giá trị đơn cao nhất cả chuỗi — phụ thuộc hoàn toàn vào demo này chạy được live. Brief đánh dấu đây là rủi ro lớn nhất cả phễu.</t>
        </is>
      </c>
      <c r="D8" s="52" t="inlineStr">
        <is>
          <t>Chốt trạng thái ngay hôm nay. Nếu đến D-5 vẫn chưa chạy ổn định, quyết định trước: lùi buổi 5 sang tuần sau, hay thay bằng bản demo quay sẵn có thuyết minh. Quyết muộn hơn D-5 là không còn lựa chọn nào.</t>
        </is>
      </c>
      <c r="E8" s="53" t="inlineStr">
        <is>
          <t>HÔM NAY · 28/07</t>
        </is>
      </c>
    </row>
    <row r="9" ht="68" customHeight="1">
      <c r="B9" s="48" t="inlineStr">
        <is>
          <t>Chỉ có 14 ngày cho khối lượng của một chiến dịch 4–6 tuần</t>
        </is>
      </c>
      <c r="C9" s="49" t="inlineStr">
        <is>
          <t>Checklist này có hơn 100 đầu việc, trong đó 24 việc CHẶN. Với 5 người, trung bình mỗi người gánh khoảng 20 đầu việc trong 14 ngày, chưa kể 5 tối live liên tiếp.</t>
        </is>
      </c>
      <c r="D9" s="49" t="inlineStr">
        <is>
          <t>Cắt trước, đừng cắt lúc đang chạy. Việc mức 'Nên có' có thể bỏ toàn bộ mà không ảnh hưởng doanh thu: seeding cộng đồng, video story evergreen, clip testimonial, lưu trữ tài sản. Giữ nguyên 100% việc CHẶN.</t>
        </is>
      </c>
      <c r="E9" s="50" t="inlineStr">
        <is>
          <t>D-14 · 28/07</t>
        </is>
      </c>
    </row>
    <row r="10" ht="56" customHeight="1">
      <c r="B10" s="51" t="inlineStr">
        <is>
          <t>Ngân sách 30–100 triệu nhưng chưa chốt con số</t>
        </is>
      </c>
      <c r="C10" s="52" t="inlineStr">
        <is>
          <t>Chênh lệch hơn ba lần giữa hai đầu khoảng. ADS không thể dựng bảng phân bổ theo ngày, cũng không đặt được ngưỡng CPL và quy tắc dừng khi chưa biết tổng ngân sách.</t>
        </is>
      </c>
      <c r="D10" s="52" t="inlineStr">
        <is>
          <t>Chốt một con số tuyệt đối trong buổi kick-off. Nếu muốn linh hoạt, chốt mức sàn cộng cơ chế mở thêm — ví dụ 40 triệu, mở thêm 20 triệu nếu CPL dưới ngưỡng sau 5 ngày.</t>
        </is>
      </c>
      <c r="E10" s="53" t="inlineStr">
        <is>
          <t>D-14 · 28/07</t>
        </is>
      </c>
    </row>
    <row r="11" ht="68" customHeight="1">
      <c r="B11" s="48" t="inlineStr">
        <is>
          <t>Tuần live chồng lên tuần chuẩn bị của chính nó</t>
        </is>
      </c>
      <c r="C11" s="49" t="inlineStr">
        <is>
          <t>Từ D0 đến D+4 mỗi người vẫn có việc hằng ngày: EDIT cắt highlight trước 11h, CP viết recap trước 12h, ADS tạo audience mới, KT/SP trực từ 18:00 đến gần nửa đêm. Năm tối liên tiếp thức đến 23:45 là nhịp không bền.</t>
        </is>
      </c>
      <c r="D11" s="49" t="inlineStr">
        <is>
          <t>Chuẩn bị trước tối đa: nội dung tuần live viết sẵn từ D-2 · mẫu ad retarget dựng sẵn · bumper và template highlight làm sẵn. Tuần live chỉ điền số liệu, không sáng tạo mới.</t>
        </is>
      </c>
      <c r="E11" s="50" t="inlineStr">
        <is>
          <t>D-2 · 09/08</t>
        </is>
      </c>
    </row>
    <row r="12" ht="48" customHeight="1">
      <c r="B12" s="51" t="inlineStr">
        <is>
          <t>Chưa rõ ai đo và báo cáo tiến độ mỗi ngày</t>
        </is>
      </c>
      <c r="C12" s="52" t="inlineStr">
        <is>
          <t>Checklist chỉ có tác dụng nếu có người mở ra mỗi sáng và hỏi 'việc CHẶN hôm nay xong chưa'. Không có việc này thì file thành tài liệu trôi nổi.</t>
        </is>
      </c>
      <c r="D12" s="52" t="inlineStr">
        <is>
          <t>Chỉ định một người điều phối (đề xuất: CP hoặc KT/SP), họp 15 phút mỗi sáng 9h, chỉ đi qua sheet '09. Việc CHẶN' và các việc đến hạn hôm nay.</t>
        </is>
      </c>
      <c r="E12" s="53" t="inlineStr">
        <is>
          <t>D-14 · 28/07</t>
        </is>
      </c>
    </row>
  </sheetData>
  <mergeCells count="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2026-07-28T05:14:26Z</dcterms:created>
  <dcterms:modified xsi:type="dcterms:W3CDTF">2026-08-06T03:46:00Z</dcterms:modified>
</cp:coreProperties>
</file>